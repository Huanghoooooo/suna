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德国" sheetId="10" r:id="rId1"/>
    <sheet name="法国" sheetId="3" r:id="rId2"/>
    <sheet name="西班牙" sheetId="1" r:id="rId3"/>
    <sheet name="意大利" sheetId="9" r:id="rId4"/>
    <sheet name="贷记单" sheetId="5" r:id="rId5"/>
    <sheet name="社区企业不用征税" sheetId="11" r:id="rId6"/>
  </sheets>
  <definedNames>
    <definedName name="_xlnm.Print_Area" localSheetId="1">法国!$A$1:$E$21</definedName>
    <definedName name="_xlnm.Print_Area" localSheetId="3">意大利!$A$1:$E$20</definedName>
    <definedName name="_xlnm.Print_Area" localSheetId="4">贷记单!$A$1:$E$18</definedName>
    <definedName name="_xlnm.Print_Area" localSheetId="0">德国!$A$1:$E$21</definedName>
    <definedName name="_xlnm.Print_Area" localSheetId="2">西班牙!$A$1:$E$20</definedName>
    <definedName name="_xlnm.Print_Area" localSheetId="5">社区企业不用征税!$A$1:$E$19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<sst xmlns="http://schemas.openxmlformats.org/spreadsheetml/2006/main" count="161" uniqueCount="62">
  <si>
    <t>Zhenyouqian Department Store Retail Co., Ltd.</t>
  </si>
  <si>
    <t>Unit 1, No. 2, Building 22, Shigeng Community, 82 Yaoqiao Road, Longzihu Subdistrict, Zhengzhou, Henan Province, China</t>
  </si>
  <si>
    <t>E-mail: zhengyouqian66@outlook.com</t>
  </si>
  <si>
    <t>COMMERCIAL INVOICE</t>
  </si>
  <si>
    <t>Seller VAT</t>
  </si>
  <si>
    <t>DE453491121</t>
  </si>
  <si>
    <t>Customer information</t>
  </si>
  <si>
    <t>Invoice date:</t>
  </si>
  <si>
    <t>05,December,2025</t>
  </si>
  <si>
    <t>Birkenlohstraße 10
92421 Schwandorf
Germany</t>
  </si>
  <si>
    <t>Order number:</t>
  </si>
  <si>
    <t># 306-7832469-4323545</t>
  </si>
  <si>
    <t>Invoice</t>
  </si>
  <si>
    <t>DE-306-7832469-4323545</t>
  </si>
  <si>
    <t>Delivery date</t>
  </si>
  <si>
    <t>03,December,2025</t>
  </si>
  <si>
    <t>Marks&amp;No.</t>
  </si>
  <si>
    <t>Description of goods</t>
  </si>
  <si>
    <t>Quantity</t>
  </si>
  <si>
    <t>Unit price(EUR)</t>
  </si>
  <si>
    <t>Total Amount(EUR)</t>
  </si>
  <si>
    <t>N/M</t>
  </si>
  <si>
    <t>Megonia 120L/Tag Kompressor Elektrischer Luftentfeuchter: Raumentfeuchter Keller</t>
  </si>
  <si>
    <t>Total</t>
  </si>
  <si>
    <t>TOTAL AMOUNT: SAY EURO EIGHT HUNDRED AND SEVENTY EIGHT ONLY.</t>
  </si>
  <si>
    <t>Net</t>
  </si>
  <si>
    <t>VAT 20%</t>
  </si>
  <si>
    <t>FR71944250141</t>
  </si>
  <si>
    <t>FR-306-7832469-4323545</t>
  </si>
  <si>
    <t>Invoice date</t>
  </si>
  <si>
    <t>25,April, 2025</t>
  </si>
  <si>
    <t xml:space="preserve">
España</t>
  </si>
  <si>
    <t>Order number</t>
  </si>
  <si>
    <t>ES-001</t>
  </si>
  <si>
    <t>16,April, 2025</t>
  </si>
  <si>
    <t>TOTAL AMOUNT: SAY EURO THREE HUNDRED AND NINETY EIGHT ONLY.</t>
  </si>
  <si>
    <t>VAT 21%</t>
  </si>
  <si>
    <t>03,April,2025</t>
  </si>
  <si>
    <t xml:space="preserve">
Italy</t>
  </si>
  <si>
    <t>order number:</t>
  </si>
  <si>
    <t>IT-001</t>
  </si>
  <si>
    <t>12,February, 2025</t>
  </si>
  <si>
    <t>TOTAL AMOUNT: SAY EURO THREE HUNDRED AND FIFTY EIGHT AND POINT TWENTY ONLY.</t>
  </si>
  <si>
    <t>VAT 22%</t>
  </si>
  <si>
    <t>CREDIT NOTE</t>
  </si>
  <si>
    <t>To</t>
  </si>
  <si>
    <t>01,September,2025</t>
  </si>
  <si>
    <t>MiquelMillan de la Torre
Calle Carme 14
Casa Orange
Soleia U, Barcelona 08759
Spain</t>
  </si>
  <si>
    <t># 404-1890227-2099530</t>
  </si>
  <si>
    <t>0003 credit note</t>
  </si>
  <si>
    <t>15,August,2025</t>
  </si>
  <si>
    <t>Megonia Plancha Vertical Vapor Profesional: 1400W 12 Niveles</t>
  </si>
  <si>
    <t>TOTAL AMOUNT: SAY EURO MINUS TWO HUNDRED AND EIGHT AND POINT FIVE ONLY.</t>
  </si>
  <si>
    <t xml:space="preserve">Zhenyouqian Department Store Retail Co., Ltd.   </t>
  </si>
  <si>
    <t>Omer Tahir</t>
  </si>
  <si>
    <t>30,June,2025</t>
  </si>
  <si>
    <t>Project Goals Limited
Ballerz™ Air Dome, Bluewater
Kent, Greenhithe, DA9 9ST
United Kingdom</t>
  </si>
  <si>
    <t xml:space="preserve"># 171-2029168-5733926 </t>
  </si>
  <si>
    <t>EN-001</t>
  </si>
  <si>
    <t>28,June,2025</t>
  </si>
  <si>
    <t>Megonia 120L/Day Electric Compressor Dehumidifier: Large Machine for Basement with Pump and Drain Hose</t>
  </si>
  <si>
    <t>TOTAL AMOUNT: SAY EURO NINE HUNDRED AND FIFTY FOUR AND POINT EIGHTY TWO ONLY.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</si>
</sst>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dd\-mmm\-yy"/>
  </numFmts>
  <fonts count="38">
    <font>
      <sz val="11"/>
      <color theme="1"/>
      <name val="宋体"/>
      <charset val="134"/>
      <scheme val="minor"/>
    </font>
    <font>
      <sz val="12"/>
      <color theme="1"/>
      <name val="Calibri"/>
      <charset val="134"/>
    </font>
    <font>
      <sz val="28"/>
      <color theme="1"/>
      <name val="Arial Black"/>
      <charset val="134"/>
    </font>
    <font>
      <sz val="12"/>
      <color theme="1"/>
      <name val="Times New Roman"/>
      <charset val="134"/>
    </font>
    <font>
      <sz val="20"/>
      <color theme="1"/>
      <name val="Arial Black"/>
      <charset val="134"/>
    </font>
    <font>
      <sz val="11"/>
      <color theme="1"/>
      <name val="Calibri"/>
      <charset val="134"/>
    </font>
    <font>
      <sz val="18"/>
      <color theme="1"/>
      <name val="Arial Black"/>
      <charset val="134"/>
    </font>
    <font>
      <sz val="12"/>
      <name val="Times New Roman"/>
      <charset val="134"/>
    </font>
    <font>
      <sz val="12"/>
      <name val="宋体"/>
      <charset val="134"/>
      <scheme val="minor"/>
    </font>
    <font>
      <sz val="11"/>
      <name val="Times New Roman"/>
      <charset val="134"/>
    </font>
    <font>
      <sz val="11"/>
      <color theme="1"/>
      <name val="Times New Roman"/>
      <charset val="134"/>
    </font>
    <font>
      <sz val="10"/>
      <color theme="1"/>
      <name val="Times New Roman"/>
      <charset val="134"/>
    </font>
    <font>
      <sz val="24"/>
      <color theme="1"/>
      <name val="Arial Black"/>
      <charset val="134"/>
    </font>
    <font>
      <b/>
      <sz val="12"/>
      <color theme="1"/>
      <name val="Times New Roman"/>
      <charset val="134"/>
    </font>
    <font>
      <sz val="11"/>
      <color rgb="FF0F1111"/>
      <name val="Calibri"/>
      <charset val="134"/>
    </font>
    <font>
      <sz val="22"/>
      <color theme="1"/>
      <name val="Arial Black"/>
      <charset val="134"/>
    </font>
    <font>
      <sz val="14"/>
      <color theme="1"/>
      <name val="宋体"/>
      <charset val="134"/>
      <scheme val="minor"/>
    </font>
    <font>
      <sz val="12"/>
      <name val="Calibri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3" borderId="19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4" borderId="22" applyNumberFormat="0" applyAlignment="0" applyProtection="0">
      <alignment vertical="center"/>
    </xf>
    <xf numFmtId="0" fontId="28" fillId="5" borderId="23" applyNumberFormat="0" applyAlignment="0" applyProtection="0">
      <alignment vertical="center"/>
    </xf>
    <xf numFmtId="0" fontId="29" fillId="5" borderId="22" applyNumberFormat="0" applyAlignment="0" applyProtection="0">
      <alignment vertical="center"/>
    </xf>
    <xf numFmtId="0" fontId="30" fillId="6" borderId="24" applyNumberFormat="0" applyAlignment="0" applyProtection="0">
      <alignment vertical="center"/>
    </xf>
    <xf numFmtId="0" fontId="31" fillId="0" borderId="25" applyNumberFormat="0" applyFill="0" applyAlignment="0" applyProtection="0">
      <alignment vertical="center"/>
    </xf>
    <xf numFmtId="0" fontId="32" fillId="0" borderId="26" applyNumberFormat="0" applyFill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</cellStyleXfs>
  <cellXfs count="12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3" fillId="0" borderId="4" xfId="0" applyFont="1" applyBorder="1">
      <alignment vertical="center"/>
    </xf>
    <xf numFmtId="0" fontId="5" fillId="0" borderId="0" xfId="0" applyFont="1">
      <alignment vertical="center"/>
    </xf>
    <xf numFmtId="0" fontId="6" fillId="0" borderId="0" xfId="0" applyFont="1" applyFill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justify" vertical="center"/>
    </xf>
    <xf numFmtId="0" fontId="5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/>
    </xf>
    <xf numFmtId="0" fontId="0" fillId="0" borderId="5" xfId="0" applyFont="1" applyFill="1" applyBorder="1" applyAlignment="1">
      <alignment vertical="center"/>
    </xf>
    <xf numFmtId="0" fontId="7" fillId="0" borderId="4" xfId="0" applyFont="1" applyFill="1" applyBorder="1" applyAlignment="1">
      <alignment horizontal="justify" vertical="center"/>
    </xf>
    <xf numFmtId="0" fontId="5" fillId="0" borderId="0" xfId="0" applyFont="1" applyFill="1" applyAlignment="1">
      <alignment vertical="center"/>
    </xf>
    <xf numFmtId="0" fontId="3" fillId="0" borderId="0" xfId="0" applyFont="1" applyBorder="1">
      <alignment vertical="center"/>
    </xf>
    <xf numFmtId="0" fontId="5" fillId="0" borderId="5" xfId="0" applyFont="1" applyFill="1" applyBorder="1" applyAlignment="1">
      <alignment vertical="center"/>
    </xf>
    <xf numFmtId="0" fontId="8" fillId="0" borderId="4" xfId="0" applyFont="1" applyFill="1" applyBorder="1" applyAlignment="1">
      <alignment vertical="center"/>
    </xf>
    <xf numFmtId="0" fontId="5" fillId="0" borderId="0" xfId="0" applyFont="1" applyFill="1" applyBorder="1" applyAlignment="1">
      <alignment vertical="top" wrapText="1"/>
    </xf>
    <xf numFmtId="0" fontId="0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5" fillId="0" borderId="5" xfId="0" applyFont="1" applyBorder="1" applyAlignment="1">
      <alignment vertical="center" wrapText="1"/>
    </xf>
    <xf numFmtId="0" fontId="7" fillId="0" borderId="4" xfId="0" applyFont="1" applyFill="1" applyBorder="1" applyAlignment="1">
      <alignment vertical="center"/>
    </xf>
    <xf numFmtId="0" fontId="5" fillId="0" borderId="0" xfId="0" applyFont="1" applyFill="1" applyBorder="1">
      <alignment vertical="center"/>
    </xf>
    <xf numFmtId="0" fontId="5" fillId="0" borderId="6" xfId="0" applyFont="1" applyFill="1" applyBorder="1" applyAlignment="1">
      <alignment vertical="center"/>
    </xf>
    <xf numFmtId="0" fontId="0" fillId="0" borderId="6" xfId="0" applyFont="1" applyFill="1" applyBorder="1" applyAlignment="1">
      <alignment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/>
    </xf>
    <xf numFmtId="176" fontId="5" fillId="0" borderId="9" xfId="0" applyNumberFormat="1" applyFont="1" applyFill="1" applyBorder="1" applyAlignment="1">
      <alignment horizontal="center" vertical="center" wrapText="1"/>
    </xf>
    <xf numFmtId="176" fontId="5" fillId="0" borderId="10" xfId="0" applyNumberFormat="1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vertical="center"/>
    </xf>
    <xf numFmtId="0" fontId="3" fillId="0" borderId="12" xfId="0" applyFont="1" applyFill="1" applyBorder="1" applyAlignment="1">
      <alignment vertical="center"/>
    </xf>
    <xf numFmtId="0" fontId="0" fillId="0" borderId="13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vertical="center"/>
    </xf>
    <xf numFmtId="0" fontId="10" fillId="0" borderId="0" xfId="0" applyFont="1" applyFill="1" applyAlignment="1">
      <alignment vertical="center"/>
    </xf>
    <xf numFmtId="0" fontId="10" fillId="0" borderId="5" xfId="0" applyFont="1" applyFill="1" applyBorder="1" applyAlignment="1">
      <alignment vertical="center"/>
    </xf>
    <xf numFmtId="0" fontId="10" fillId="0" borderId="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1" fillId="0" borderId="4" xfId="0" applyFont="1" applyBorder="1">
      <alignment vertical="center"/>
    </xf>
    <xf numFmtId="176" fontId="0" fillId="0" borderId="0" xfId="0" applyNumberFormat="1" applyFont="1">
      <alignment vertical="center"/>
    </xf>
    <xf numFmtId="0" fontId="0" fillId="0" borderId="4" xfId="0" applyFont="1" applyFill="1" applyBorder="1" applyAlignment="1">
      <alignment vertical="center"/>
    </xf>
    <xf numFmtId="0" fontId="3" fillId="0" borderId="5" xfId="0" applyFont="1" applyFill="1" applyBorder="1" applyAlignment="1">
      <alignment vertical="center"/>
    </xf>
    <xf numFmtId="0" fontId="0" fillId="0" borderId="14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16" xfId="0" applyFill="1" applyBorder="1" applyAlignment="1">
      <alignment vertical="center"/>
    </xf>
    <xf numFmtId="0" fontId="0" fillId="0" borderId="0" xfId="0" applyBorder="1">
      <alignment vertical="center"/>
    </xf>
    <xf numFmtId="0" fontId="12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3" fillId="0" borderId="4" xfId="0" applyFont="1" applyBorder="1" applyAlignment="1">
      <alignment horizontal="justify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13" fillId="0" borderId="0" xfId="0" applyFont="1" applyBorder="1">
      <alignment vertical="center"/>
    </xf>
    <xf numFmtId="0" fontId="13" fillId="0" borderId="4" xfId="0" applyFont="1" applyBorder="1">
      <alignment vertical="center"/>
    </xf>
    <xf numFmtId="0" fontId="14" fillId="0" borderId="5" xfId="0" applyFont="1" applyBorder="1">
      <alignment vertical="center"/>
    </xf>
    <xf numFmtId="0" fontId="0" fillId="0" borderId="5" xfId="0" applyBorder="1">
      <alignment vertical="center"/>
    </xf>
    <xf numFmtId="0" fontId="0" fillId="0" borderId="0" xfId="0" applyFo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/>
    </xf>
    <xf numFmtId="177" fontId="0" fillId="0" borderId="0" xfId="0" applyNumberFormat="1">
      <alignment vertical="center"/>
    </xf>
    <xf numFmtId="0" fontId="13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3" fillId="0" borderId="11" xfId="0" applyFont="1" applyBorder="1">
      <alignment vertical="center"/>
    </xf>
    <xf numFmtId="0" fontId="13" fillId="0" borderId="12" xfId="0" applyFont="1" applyBorder="1">
      <alignment vertical="center"/>
    </xf>
    <xf numFmtId="0" fontId="0" fillId="0" borderId="9" xfId="0" applyBorder="1" applyAlignment="1">
      <alignment horizontal="center" vertical="center"/>
    </xf>
    <xf numFmtId="176" fontId="5" fillId="0" borderId="10" xfId="0" applyNumberFormat="1" applyFont="1" applyBorder="1" applyAlignment="1">
      <alignment horizontal="center" vertical="center"/>
    </xf>
    <xf numFmtId="0" fontId="13" fillId="0" borderId="0" xfId="0" applyFont="1">
      <alignment vertical="center"/>
    </xf>
    <xf numFmtId="0" fontId="13" fillId="0" borderId="5" xfId="0" applyFont="1" applyBorder="1">
      <alignment vertical="center"/>
    </xf>
    <xf numFmtId="0" fontId="0" fillId="0" borderId="4" xfId="0" applyBorder="1">
      <alignment vertical="center"/>
    </xf>
    <xf numFmtId="0" fontId="13" fillId="0" borderId="0" xfId="0" applyFont="1" applyFill="1" applyAlignment="1">
      <alignment horizontal="right" vertical="center"/>
    </xf>
    <xf numFmtId="0" fontId="13" fillId="0" borderId="5" xfId="0" applyFont="1" applyFill="1" applyBorder="1" applyAlignment="1">
      <alignment horizontal="right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15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0" fillId="0" borderId="4" xfId="0" applyFont="1" applyBorder="1">
      <alignment vertical="center"/>
    </xf>
    <xf numFmtId="0" fontId="0" fillId="0" borderId="0" xfId="0" applyFont="1" applyAlignment="1">
      <alignment vertical="center" wrapText="1"/>
    </xf>
    <xf numFmtId="0" fontId="5" fillId="2" borderId="0" xfId="0" applyFont="1" applyFill="1">
      <alignment vertical="center"/>
    </xf>
    <xf numFmtId="0" fontId="3" fillId="0" borderId="4" xfId="0" applyFont="1" applyBorder="1" applyAlignment="1">
      <alignment horizontal="justify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justify" vertical="center"/>
    </xf>
    <xf numFmtId="0" fontId="5" fillId="0" borderId="9" xfId="0" applyFont="1" applyBorder="1" applyAlignment="1">
      <alignment horizontal="center" vertical="center" wrapText="1"/>
    </xf>
    <xf numFmtId="0" fontId="3" fillId="0" borderId="11" xfId="0" applyFont="1" applyBorder="1">
      <alignment vertical="center"/>
    </xf>
    <xf numFmtId="0" fontId="3" fillId="0" borderId="12" xfId="0" applyFont="1" applyBorder="1">
      <alignment vertical="center"/>
    </xf>
    <xf numFmtId="0" fontId="0" fillId="0" borderId="9" xfId="0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176" fontId="5" fillId="0" borderId="0" xfId="0" applyNumberFormat="1" applyFont="1">
      <alignment vertical="center"/>
    </xf>
    <xf numFmtId="0" fontId="0" fillId="0" borderId="18" xfId="0" applyFill="1" applyBorder="1" applyAlignment="1">
      <alignment vertical="center"/>
    </xf>
    <xf numFmtId="0" fontId="16" fillId="0" borderId="0" xfId="0" applyFont="1" applyFill="1" applyAlignment="1">
      <alignment vertical="center"/>
    </xf>
    <xf numFmtId="0" fontId="6" fillId="0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 wrapText="1"/>
    </xf>
    <xf numFmtId="0" fontId="5" fillId="0" borderId="0" xfId="0" applyFont="1" applyFill="1" applyAlignment="1">
      <alignment horizontal="left" vertical="center" wrapText="1"/>
    </xf>
    <xf numFmtId="0" fontId="1" fillId="0" borderId="0" xfId="0" applyFo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7" fillId="0" borderId="0" xfId="0" applyFont="1">
      <alignment vertical="center"/>
    </xf>
    <xf numFmtId="0" fontId="18" fillId="0" borderId="4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zoomScale="85" zoomScaleNormal="85" workbookViewId="0">
      <selection activeCell="B8" sqref="B8:C8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4" t="s">
        <v>0</v>
      </c>
      <c r="B1" s="5"/>
      <c r="C1" s="5"/>
      <c r="D1" s="5"/>
      <c r="E1" s="6"/>
    </row>
    <row r="2" ht="16" customHeight="1" spans="1:8">
      <c r="A2" s="7" t="s">
        <v>1</v>
      </c>
      <c r="B2" s="8"/>
      <c r="C2" s="8"/>
      <c r="D2" s="8"/>
      <c r="E2" s="9"/>
    </row>
    <row r="3" ht="16" customHeight="1" spans="1:8">
      <c r="A3" s="7" t="s">
        <v>2</v>
      </c>
      <c r="B3" s="10"/>
      <c r="C3" s="10"/>
      <c r="D3" s="10"/>
      <c r="E3" s="11"/>
    </row>
    <row r="4" ht="29" customHeight="1" spans="1:8">
      <c r="A4" s="63" t="s">
        <v>3</v>
      </c>
      <c r="B4" s="64"/>
      <c r="C4" s="64"/>
      <c r="D4" s="64"/>
      <c r="E4" s="65"/>
    </row>
    <row r="5" spans="1:8">
      <c r="A5" s="99"/>
      <c r="B5" s="100"/>
      <c r="E5" s="75"/>
    </row>
    <row r="6" ht="15.75" spans="1:8">
      <c r="A6" s="15" t="s">
        <v>4</v>
      </c>
      <c r="B6" s="16" t="s">
        <v>5</v>
      </c>
      <c r="E6" s="75"/>
    </row>
    <row r="7" ht="15" spans="1:8">
      <c r="A7" s="127"/>
      <c r="B7" s="16"/>
      <c r="E7" s="75"/>
    </row>
    <row r="8" ht="15.75" spans="1:8">
      <c r="A8" s="102" t="s">
        <v>6</v>
      </c>
      <c r="B8" s="70"/>
      <c r="C8" s="70"/>
      <c r="D8" s="25" t="s">
        <v>7</v>
      </c>
      <c r="E8" s="26" t="s">
        <v>8</v>
      </c>
    </row>
    <row r="9" ht="105" customHeight="1" spans="1:8">
      <c r="A9" s="89"/>
      <c r="B9" s="28" t="s">
        <v>9</v>
      </c>
      <c r="C9" s="62"/>
      <c r="D9" s="30" t="s">
        <v>10</v>
      </c>
      <c r="E9" s="74" t="s">
        <v>11</v>
      </c>
      <c r="H9" s="80"/>
    </row>
    <row r="10" s="62" customFormat="1" ht="15" customHeight="1" spans="1:8">
      <c r="A10" s="15" t="s">
        <v>12</v>
      </c>
      <c r="B10" s="71" t="s">
        <v>13</v>
      </c>
      <c r="E10" s="75"/>
    </row>
    <row r="11" ht="15" customHeight="1" spans="1:8">
      <c r="A11" s="15" t="s">
        <v>14</v>
      </c>
      <c r="B11" s="34" t="s">
        <v>15</v>
      </c>
      <c r="D11" s="76"/>
      <c r="E11" s="75"/>
    </row>
    <row r="12" s="126" customFormat="1" ht="15.75" spans="1:8">
      <c r="A12" s="103" t="s">
        <v>16</v>
      </c>
      <c r="B12" s="104" t="s">
        <v>17</v>
      </c>
      <c r="C12" s="105" t="s">
        <v>18</v>
      </c>
      <c r="D12" s="105" t="s">
        <v>19</v>
      </c>
      <c r="E12" s="106" t="s">
        <v>20</v>
      </c>
    </row>
    <row r="13" ht="50" customHeight="1" spans="1:8">
      <c r="A13" s="124" t="s">
        <v>21</v>
      </c>
      <c r="B13" s="108" t="s">
        <v>22</v>
      </c>
      <c r="C13" s="82">
        <v>2</v>
      </c>
      <c r="D13" s="43">
        <v>439</v>
      </c>
      <c r="E13" s="44">
        <f>D13*C13</f>
        <v>878</v>
      </c>
    </row>
    <row r="14" ht="21" customHeight="1" spans="1:8">
      <c r="A14" s="109" t="s">
        <v>23</v>
      </c>
      <c r="B14" s="110"/>
      <c r="C14" s="85"/>
      <c r="D14" s="111"/>
      <c r="E14" s="44">
        <f>E13</f>
        <v>878</v>
      </c>
    </row>
    <row r="15" ht="15.75" spans="1:8">
      <c r="A15" s="112" t="s">
        <v>24</v>
      </c>
      <c r="B15" s="113"/>
      <c r="C15" s="113"/>
      <c r="D15" s="113"/>
      <c r="E15" s="58"/>
    </row>
    <row r="16" ht="15.75" spans="1:8">
      <c r="A16" s="15" t="s">
        <v>25</v>
      </c>
      <c r="B16" s="114">
        <f>E13/(1+0.2)</f>
        <v>731.666666666667</v>
      </c>
      <c r="E16" s="75"/>
    </row>
    <row r="17" ht="15.75" spans="1:7">
      <c r="A17" s="15" t="s">
        <v>26</v>
      </c>
      <c r="B17" s="114">
        <f>B16*0.2</f>
        <v>146.333333333333</v>
      </c>
      <c r="E17" s="75"/>
    </row>
    <row r="18" ht="15.75" spans="1:7">
      <c r="A18" s="15" t="s">
        <v>23</v>
      </c>
      <c r="B18" s="114">
        <f>B16+B17</f>
        <v>878</v>
      </c>
      <c r="E18" s="75"/>
    </row>
    <row r="19" spans="1:7">
      <c r="A19" s="89"/>
      <c r="D19" s="125"/>
      <c r="E19" s="75"/>
    </row>
    <row r="20" ht="15.75" spans="1:7">
      <c r="A20" s="89"/>
      <c r="D20" s="8" t="s">
        <v>0</v>
      </c>
      <c r="E20" s="58"/>
      <c r="F20" s="1"/>
      <c r="G20" s="115"/>
    </row>
    <row r="21" ht="14.25" spans="1:7">
      <c r="A21" s="92"/>
      <c r="B21" s="93"/>
      <c r="C21" s="93"/>
      <c r="D21" s="93"/>
      <c r="E21" s="94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20:E20"/>
  </mergeCells>
  <pageMargins left="0.25" right="0.25" top="0.75" bottom="0.75" header="0.298611111111111" footer="0.298611111111111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zoomScale="80" zoomScaleNormal="80" workbookViewId="0">
      <selection activeCell="B8" sqref="B8:C8"/>
    </sheetView>
  </sheetViews>
  <sheetFormatPr defaultColWidth="8.66666666666667" defaultRowHeight="13.5" outlineLevelCol="7"/>
  <cols>
    <col min="1" max="1" width="23.775" customWidth="1"/>
    <col min="2" max="2" width="30.7083333333333" customWidth="1"/>
    <col min="3" max="3" width="25.7166666666667" customWidth="1"/>
    <col min="4" max="4" width="26.6" customWidth="1"/>
    <col min="5" max="5" width="28.7416666666667" customWidth="1"/>
    <col min="8" max="8" width="10.3833333333333"/>
  </cols>
  <sheetData>
    <row r="1" ht="39" customHeight="1" spans="1:8">
      <c r="A1" s="4" t="s">
        <v>0</v>
      </c>
      <c r="B1" s="5"/>
      <c r="C1" s="5"/>
      <c r="D1" s="5"/>
      <c r="E1" s="6"/>
    </row>
    <row r="2" ht="18" customHeight="1" spans="1:8">
      <c r="A2" s="7" t="s">
        <v>1</v>
      </c>
      <c r="B2" s="8"/>
      <c r="C2" s="8"/>
      <c r="D2" s="8"/>
      <c r="E2" s="9"/>
    </row>
    <row r="3" ht="18" customHeight="1" spans="1:8">
      <c r="A3" s="7" t="s">
        <v>2</v>
      </c>
      <c r="B3" s="10"/>
      <c r="C3" s="10"/>
      <c r="D3" s="10"/>
      <c r="E3" s="11"/>
    </row>
    <row r="4" ht="27" customHeight="1" spans="1:8">
      <c r="A4" s="121" t="s">
        <v>3</v>
      </c>
      <c r="B4" s="122"/>
      <c r="C4" s="122"/>
      <c r="D4" s="122"/>
      <c r="E4" s="123"/>
    </row>
    <row r="5" spans="1:8">
      <c r="A5" s="99"/>
      <c r="B5" s="100"/>
      <c r="E5" s="75"/>
    </row>
    <row r="6" ht="15.75" spans="1:8">
      <c r="A6" s="15" t="s">
        <v>4</v>
      </c>
      <c r="B6" s="16" t="s">
        <v>27</v>
      </c>
      <c r="E6" s="75"/>
    </row>
    <row r="7" ht="15.75" spans="1:8">
      <c r="A7" s="15"/>
      <c r="B7" s="16"/>
      <c r="E7" s="75"/>
    </row>
    <row r="8" ht="15.75" spans="1:8">
      <c r="A8" s="102" t="s">
        <v>6</v>
      </c>
      <c r="B8" s="70"/>
      <c r="C8" s="70"/>
      <c r="D8" s="25" t="s">
        <v>7</v>
      </c>
      <c r="E8" s="26" t="s">
        <v>8</v>
      </c>
    </row>
    <row r="9" ht="105" customHeight="1" spans="1:8">
      <c r="A9" s="89"/>
      <c r="B9" s="28" t="s">
        <v>9</v>
      </c>
      <c r="C9" s="62"/>
      <c r="D9" s="30" t="s">
        <v>10</v>
      </c>
      <c r="E9" s="74" t="s">
        <v>11</v>
      </c>
      <c r="H9" s="80"/>
    </row>
    <row r="10" s="62" customFormat="1" ht="15" customHeight="1" spans="1:8">
      <c r="A10" s="15" t="s">
        <v>12</v>
      </c>
      <c r="B10" s="71" t="s">
        <v>28</v>
      </c>
      <c r="E10" s="75"/>
    </row>
    <row r="11" ht="15" customHeight="1" spans="1:8">
      <c r="A11" s="15" t="s">
        <v>14</v>
      </c>
      <c r="B11" s="34" t="s">
        <v>15</v>
      </c>
      <c r="D11" s="76"/>
      <c r="E11" s="75"/>
    </row>
    <row r="12" s="120" customFormat="1" ht="15.75" spans="1:8">
      <c r="A12" s="103" t="s">
        <v>16</v>
      </c>
      <c r="B12" s="104" t="s">
        <v>17</v>
      </c>
      <c r="C12" s="105" t="s">
        <v>18</v>
      </c>
      <c r="D12" s="105" t="s">
        <v>19</v>
      </c>
      <c r="E12" s="106" t="s">
        <v>20</v>
      </c>
    </row>
    <row r="13" ht="50" customHeight="1" spans="1:8">
      <c r="A13" s="124" t="s">
        <v>21</v>
      </c>
      <c r="B13" s="108" t="s">
        <v>22</v>
      </c>
      <c r="C13" s="82">
        <v>2</v>
      </c>
      <c r="D13" s="43">
        <v>439</v>
      </c>
      <c r="E13" s="44">
        <f>D13*C13</f>
        <v>878</v>
      </c>
    </row>
    <row r="14" ht="22.95" customHeight="1" spans="1:8">
      <c r="A14" s="109" t="s">
        <v>23</v>
      </c>
      <c r="B14" s="110"/>
      <c r="C14" s="85"/>
      <c r="D14" s="111"/>
      <c r="E14" s="44">
        <f>E13</f>
        <v>878</v>
      </c>
    </row>
    <row r="15" ht="15.75" spans="1:8">
      <c r="A15" s="112" t="s">
        <v>24</v>
      </c>
      <c r="B15" s="113"/>
      <c r="C15" s="113"/>
      <c r="D15" s="113"/>
      <c r="E15" s="58"/>
    </row>
    <row r="16" ht="15.75" spans="1:8">
      <c r="A16" s="15" t="s">
        <v>25</v>
      </c>
      <c r="B16" s="114">
        <f>E13/(1+0.2)</f>
        <v>731.666666666667</v>
      </c>
      <c r="E16" s="75"/>
    </row>
    <row r="17" ht="15.75" spans="1:7">
      <c r="A17" s="15" t="s">
        <v>26</v>
      </c>
      <c r="B17" s="114">
        <f>B16*0.2</f>
        <v>146.333333333333</v>
      </c>
      <c r="E17" s="75"/>
    </row>
    <row r="18" ht="15.75" spans="1:7">
      <c r="A18" s="15" t="s">
        <v>23</v>
      </c>
      <c r="B18" s="114">
        <f>B16+B17</f>
        <v>878</v>
      </c>
      <c r="E18" s="75"/>
    </row>
    <row r="19" spans="1:7">
      <c r="A19" s="89"/>
      <c r="D19" s="125"/>
      <c r="E19" s="75"/>
      <c r="F19" s="1"/>
      <c r="G19" s="115"/>
    </row>
    <row r="20" ht="15.75" spans="1:7">
      <c r="A20" s="89"/>
      <c r="D20" s="8" t="s">
        <v>0</v>
      </c>
      <c r="E20" s="58"/>
    </row>
    <row r="21" ht="14.25" spans="1:7">
      <c r="A21" s="92"/>
      <c r="B21" s="93"/>
      <c r="C21" s="93"/>
      <c r="D21" s="93"/>
      <c r="E21" s="94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20:E20"/>
  </mergeCells>
  <pageMargins left="0.25" right="0.25" top="0.75" bottom="0.75" header="0.298611111111111" footer="0.298611111111111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zoomScale="75" zoomScaleNormal="75" workbookViewId="0">
      <selection activeCell="A13" sqref="$A13:$XFD13"/>
    </sheetView>
  </sheetViews>
  <sheetFormatPr defaultColWidth="8.66666666666667" defaultRowHeight="13.5" outlineLevelCol="4"/>
  <cols>
    <col min="1" max="1" width="23.775" style="1" customWidth="1"/>
    <col min="2" max="2" width="36.5" style="1" customWidth="1"/>
    <col min="3" max="4" width="25.3583333333333" style="1" customWidth="1"/>
    <col min="5" max="5" width="30.8833333333333" style="1" customWidth="1"/>
    <col min="6" max="16384" width="8.66666666666667" style="1"/>
  </cols>
  <sheetData>
    <row r="1" s="1" customFormat="1" ht="40" customHeight="1" spans="1:5">
      <c r="A1" s="4" t="s">
        <v>0</v>
      </c>
      <c r="B1" s="5"/>
      <c r="C1" s="5"/>
      <c r="D1" s="5"/>
      <c r="E1" s="6"/>
    </row>
    <row r="2" s="116" customFormat="1" ht="19" customHeight="1" spans="1:5">
      <c r="A2" s="7" t="s">
        <v>1</v>
      </c>
      <c r="B2" s="8"/>
      <c r="C2" s="8"/>
      <c r="D2" s="8"/>
      <c r="E2" s="9"/>
    </row>
    <row r="3" s="116" customFormat="1" ht="19" customHeight="1" spans="1:5">
      <c r="A3" s="7" t="s">
        <v>2</v>
      </c>
      <c r="B3" s="10"/>
      <c r="C3" s="10"/>
      <c r="D3" s="10"/>
      <c r="E3" s="11"/>
    </row>
    <row r="4" s="1" customFormat="1" ht="27" customHeight="1" spans="1:5">
      <c r="A4" s="12" t="s">
        <v>3</v>
      </c>
      <c r="B4" s="13"/>
      <c r="C4" s="13"/>
      <c r="D4" s="13"/>
      <c r="E4" s="14"/>
    </row>
    <row r="5" s="1" customFormat="1" ht="14" customHeight="1" spans="1:5">
      <c r="A5" s="117"/>
      <c r="B5" s="17"/>
      <c r="C5" s="17"/>
      <c r="D5" s="17"/>
      <c r="E5" s="18"/>
    </row>
    <row r="6" s="1" customFormat="1" ht="15.75" spans="1:5">
      <c r="A6" s="15" t="s">
        <v>4</v>
      </c>
      <c r="B6" s="118"/>
      <c r="C6" s="21"/>
      <c r="D6" s="21"/>
      <c r="E6" s="22"/>
    </row>
    <row r="7" s="1" customFormat="1" ht="15.75" spans="1:5">
      <c r="A7" s="19"/>
      <c r="B7" s="20"/>
      <c r="C7" s="21"/>
      <c r="D7" s="21"/>
      <c r="E7" s="22"/>
    </row>
    <row r="8" s="1" customFormat="1" ht="19" customHeight="1" spans="1:5">
      <c r="A8" s="23" t="s">
        <v>6</v>
      </c>
      <c r="B8" s="119"/>
      <c r="C8" s="119"/>
      <c r="D8" s="25" t="s">
        <v>29</v>
      </c>
      <c r="E8" s="26" t="s">
        <v>30</v>
      </c>
    </row>
    <row r="9" s="1" customFormat="1" ht="105" customHeight="1" spans="1:5">
      <c r="A9" s="27"/>
      <c r="B9" s="28" t="s">
        <v>31</v>
      </c>
      <c r="D9" s="30" t="s">
        <v>32</v>
      </c>
      <c r="E9" s="31"/>
    </row>
    <row r="10" s="2" customFormat="1" ht="15" customHeight="1" spans="1:5">
      <c r="A10" s="32" t="s">
        <v>12</v>
      </c>
      <c r="B10" s="33" t="s">
        <v>33</v>
      </c>
      <c r="C10" s="29"/>
      <c r="D10" s="29"/>
      <c r="E10" s="22"/>
    </row>
    <row r="11" s="1" customFormat="1" ht="15" customHeight="1" spans="1:5">
      <c r="A11" s="32" t="s">
        <v>14</v>
      </c>
      <c r="B11" s="34" t="s">
        <v>34</v>
      </c>
      <c r="C11" s="35"/>
      <c r="D11" s="21"/>
      <c r="E11" s="22"/>
    </row>
    <row r="12" s="3" customFormat="1" ht="15.75" spans="1:5">
      <c r="A12" s="36" t="s">
        <v>16</v>
      </c>
      <c r="B12" s="37" t="s">
        <v>17</v>
      </c>
      <c r="C12" s="37" t="s">
        <v>18</v>
      </c>
      <c r="D12" s="38" t="s">
        <v>19</v>
      </c>
      <c r="E12" s="39" t="s">
        <v>20</v>
      </c>
    </row>
    <row r="13" s="1" customFormat="1" ht="50" customHeight="1" spans="1:5">
      <c r="A13" s="40" t="s">
        <v>21</v>
      </c>
      <c r="B13" s="41"/>
      <c r="C13" s="42">
        <v>1</v>
      </c>
      <c r="D13" s="43"/>
      <c r="E13" s="44"/>
    </row>
    <row r="14" s="1" customFormat="1" ht="19" customHeight="1" spans="1:5">
      <c r="A14" s="45" t="s">
        <v>23</v>
      </c>
      <c r="B14" s="46"/>
      <c r="C14" s="47"/>
      <c r="D14" s="48"/>
      <c r="E14" s="44">
        <f>E13</f>
        <v>0</v>
      </c>
    </row>
    <row r="15" s="1" customFormat="1" ht="15" spans="1:5">
      <c r="A15" s="49" t="s">
        <v>35</v>
      </c>
      <c r="B15" s="50"/>
      <c r="C15" s="50"/>
      <c r="D15" s="50"/>
      <c r="E15" s="51"/>
    </row>
    <row r="16" s="1" customFormat="1" ht="15" spans="1:5">
      <c r="A16" s="55" t="s">
        <v>25</v>
      </c>
      <c r="B16" s="114">
        <f>E13/(1+0.21)</f>
        <v>0</v>
      </c>
      <c r="C16" s="21"/>
      <c r="D16" s="21"/>
      <c r="E16" s="22"/>
    </row>
    <row r="17" s="1" customFormat="1" ht="15" spans="1:5">
      <c r="A17" s="55" t="s">
        <v>36</v>
      </c>
      <c r="B17" s="114">
        <f>B16*0.21</f>
        <v>0</v>
      </c>
      <c r="C17" s="21"/>
      <c r="D17" s="21"/>
      <c r="E17" s="22"/>
    </row>
    <row r="18" s="1" customFormat="1" ht="15" spans="1:5">
      <c r="A18" s="55" t="s">
        <v>23</v>
      </c>
      <c r="B18" s="114">
        <f>B16+B17</f>
        <v>0</v>
      </c>
      <c r="D18" s="21"/>
      <c r="E18" s="22"/>
    </row>
    <row r="19" s="1" customFormat="1" ht="15.75" spans="1:5">
      <c r="A19" s="57"/>
      <c r="B19" s="21"/>
      <c r="C19" s="21"/>
      <c r="D19" s="8" t="s">
        <v>0</v>
      </c>
      <c r="E19" s="58"/>
    </row>
    <row r="20" s="1" customFormat="1" ht="14.25" spans="1:5">
      <c r="A20" s="59"/>
      <c r="B20" s="60"/>
      <c r="C20" s="60"/>
      <c r="D20" s="60"/>
      <c r="E20" s="61"/>
    </row>
  </sheetData>
  <mergeCells count="9">
    <mergeCell ref="A1:E1"/>
    <mergeCell ref="A2:E2"/>
    <mergeCell ref="A3:E3"/>
    <mergeCell ref="A4:E4"/>
    <mergeCell ref="B8:C8"/>
    <mergeCell ref="A14:B14"/>
    <mergeCell ref="C14:D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70" zoomScaleNormal="70" workbookViewId="0">
      <selection activeCell="B30" sqref="B30"/>
    </sheetView>
  </sheetViews>
  <sheetFormatPr defaultColWidth="8.66666666666667" defaultRowHeight="13.5" outlineLevelCol="7"/>
  <cols>
    <col min="1" max="1" width="26.2583333333333" customWidth="1"/>
    <col min="2" max="2" width="33.0333333333333" customWidth="1"/>
    <col min="3" max="3" width="22.2" customWidth="1"/>
    <col min="4" max="4" width="26.2583333333333" customWidth="1"/>
    <col min="5" max="5" width="33.0333333333333" customWidth="1"/>
    <col min="8" max="8" width="10.3833333333333"/>
  </cols>
  <sheetData>
    <row r="1" ht="30" customHeight="1" spans="1:8">
      <c r="A1" s="4" t="s">
        <v>0</v>
      </c>
      <c r="B1" s="5"/>
      <c r="C1" s="5"/>
      <c r="D1" s="5"/>
      <c r="E1" s="6"/>
    </row>
    <row r="2" ht="15" customHeight="1" spans="1:8">
      <c r="A2" s="7" t="s">
        <v>1</v>
      </c>
      <c r="B2" s="8"/>
      <c r="C2" s="8"/>
      <c r="D2" s="8"/>
      <c r="E2" s="9"/>
    </row>
    <row r="3" ht="15" customHeight="1" spans="1:8">
      <c r="A3" s="7" t="s">
        <v>2</v>
      </c>
      <c r="B3" s="10"/>
      <c r="C3" s="10"/>
      <c r="D3" s="10"/>
      <c r="E3" s="11"/>
    </row>
    <row r="4" ht="28" customHeight="1" spans="1:8">
      <c r="A4" s="96" t="s">
        <v>3</v>
      </c>
      <c r="B4" s="97"/>
      <c r="C4" s="97"/>
      <c r="D4" s="97"/>
      <c r="E4" s="98"/>
    </row>
    <row r="5" ht="13" customHeight="1" spans="1:8">
      <c r="A5" s="99"/>
      <c r="B5" s="100"/>
      <c r="E5" s="75"/>
    </row>
    <row r="6" ht="15.75" spans="1:8">
      <c r="A6" s="15" t="s">
        <v>4</v>
      </c>
      <c r="B6" s="101"/>
      <c r="E6" s="75"/>
    </row>
    <row r="7" ht="13" customHeight="1" spans="1:8">
      <c r="A7" s="15"/>
      <c r="B7" s="16"/>
      <c r="E7" s="75"/>
    </row>
    <row r="8" ht="18" customHeight="1" spans="1:8">
      <c r="A8" s="102" t="s">
        <v>6</v>
      </c>
      <c r="B8" s="16"/>
      <c r="D8" s="25" t="s">
        <v>7</v>
      </c>
      <c r="E8" s="26" t="s">
        <v>37</v>
      </c>
    </row>
    <row r="9" ht="105" customHeight="1" spans="1:8">
      <c r="A9" s="15"/>
      <c r="B9" s="28" t="s">
        <v>38</v>
      </c>
      <c r="C9" s="62"/>
      <c r="D9" s="25" t="s">
        <v>39</v>
      </c>
      <c r="E9" s="31"/>
      <c r="H9" s="80"/>
    </row>
    <row r="10" s="62" customFormat="1" ht="15" customHeight="1" spans="1:8">
      <c r="A10" s="15" t="s">
        <v>12</v>
      </c>
      <c r="B10" s="16" t="s">
        <v>40</v>
      </c>
      <c r="E10" s="75"/>
    </row>
    <row r="11" ht="15" customHeight="1" spans="1:8">
      <c r="A11" s="15" t="s">
        <v>14</v>
      </c>
      <c r="B11" s="34" t="s">
        <v>41</v>
      </c>
      <c r="D11" s="76"/>
      <c r="E11" s="75"/>
    </row>
    <row r="12" ht="15.75" spans="1:8">
      <c r="A12" s="103" t="s">
        <v>16</v>
      </c>
      <c r="B12" s="104" t="s">
        <v>17</v>
      </c>
      <c r="C12" s="105" t="s">
        <v>18</v>
      </c>
      <c r="D12" s="105" t="s">
        <v>19</v>
      </c>
      <c r="E12" s="106" t="s">
        <v>20</v>
      </c>
    </row>
    <row r="13" ht="50" customHeight="1" spans="1:8">
      <c r="A13" s="107" t="s">
        <v>21</v>
      </c>
      <c r="B13" s="108"/>
      <c r="C13" s="82"/>
      <c r="D13" s="43"/>
      <c r="E13" s="44"/>
    </row>
    <row r="14" ht="22.95" customHeight="1" spans="1:8">
      <c r="A14" s="109" t="s">
        <v>23</v>
      </c>
      <c r="B14" s="110"/>
      <c r="C14" s="85"/>
      <c r="D14" s="111"/>
      <c r="E14" s="44">
        <f>E13</f>
        <v>0</v>
      </c>
    </row>
    <row r="15" ht="15.75" spans="1:8">
      <c r="A15" s="112" t="s">
        <v>42</v>
      </c>
      <c r="B15" s="113"/>
      <c r="C15" s="113"/>
      <c r="D15" s="113"/>
      <c r="E15" s="58"/>
    </row>
    <row r="16" ht="15.75" spans="1:8">
      <c r="A16" s="15" t="s">
        <v>25</v>
      </c>
      <c r="B16" s="114">
        <f>E13/(1+0.22)</f>
        <v>0</v>
      </c>
      <c r="E16" s="75"/>
    </row>
    <row r="17" ht="15.75" spans="1:7">
      <c r="A17" s="15" t="s">
        <v>43</v>
      </c>
      <c r="B17" s="114">
        <f>B16*0.22</f>
        <v>0</v>
      </c>
      <c r="E17" s="75"/>
    </row>
    <row r="18" ht="15.75" spans="1:7">
      <c r="A18" s="15" t="s">
        <v>23</v>
      </c>
      <c r="B18" s="114">
        <f>B16+B17</f>
        <v>0</v>
      </c>
      <c r="E18" s="75"/>
    </row>
    <row r="19" ht="15.75" spans="1:7">
      <c r="A19" s="89"/>
      <c r="D19" s="8" t="s">
        <v>0</v>
      </c>
      <c r="E19" s="58"/>
      <c r="F19" s="1"/>
      <c r="G19" s="115"/>
    </row>
    <row r="20" ht="14.25" spans="1:7">
      <c r="A20" s="92"/>
      <c r="B20" s="93"/>
      <c r="C20" s="93"/>
      <c r="D20" s="93"/>
      <c r="E20" s="94"/>
    </row>
  </sheetData>
  <mergeCells count="7">
    <mergeCell ref="A1:E1"/>
    <mergeCell ref="A2:E2"/>
    <mergeCell ref="A3:E3"/>
    <mergeCell ref="A4:E4"/>
    <mergeCell ref="A14:B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zoomScale="85" zoomScaleNormal="85" workbookViewId="0">
      <selection activeCell="B23" sqref="B23"/>
    </sheetView>
  </sheetViews>
  <sheetFormatPr defaultColWidth="8.66666666666667" defaultRowHeight="13.5" outlineLevelCol="7"/>
  <cols>
    <col min="1" max="1" width="23.775" customWidth="1"/>
    <col min="2" max="2" width="30.4416666666667" customWidth="1"/>
    <col min="3" max="4" width="23.775" customWidth="1"/>
    <col min="5" max="5" width="25.5" customWidth="1"/>
    <col min="8" max="8" width="10.3833333333333"/>
  </cols>
  <sheetData>
    <row r="1" ht="37" customHeight="1" spans="1:8">
      <c r="A1" s="4" t="s">
        <v>0</v>
      </c>
      <c r="B1" s="5"/>
      <c r="C1" s="5"/>
      <c r="D1" s="5"/>
      <c r="E1" s="6"/>
    </row>
    <row r="2" ht="17" customHeight="1" spans="1:8">
      <c r="A2" s="7" t="s">
        <v>1</v>
      </c>
      <c r="B2" s="8"/>
      <c r="C2" s="8"/>
      <c r="D2" s="8"/>
      <c r="E2" s="9"/>
    </row>
    <row r="3" ht="17" customHeight="1" spans="1:8">
      <c r="A3" s="7" t="s">
        <v>2</v>
      </c>
      <c r="B3" s="10"/>
      <c r="C3" s="10"/>
      <c r="D3" s="10"/>
      <c r="E3" s="11"/>
    </row>
    <row r="4" ht="25" customHeight="1" spans="1:8">
      <c r="A4" s="63" t="s">
        <v>44</v>
      </c>
      <c r="B4" s="64"/>
      <c r="C4" s="64"/>
      <c r="D4" s="64"/>
      <c r="E4" s="65"/>
    </row>
    <row r="5" ht="16" customHeight="1" spans="1:8">
      <c r="A5" s="66"/>
      <c r="B5" s="67"/>
      <c r="C5" s="67"/>
      <c r="D5" s="67"/>
      <c r="E5" s="68"/>
    </row>
    <row r="6" ht="15" customHeight="1" spans="1:8">
      <c r="A6" s="69" t="s">
        <v>45</v>
      </c>
      <c r="B6" s="70"/>
      <c r="C6" s="71"/>
      <c r="D6" s="72" t="s">
        <v>7</v>
      </c>
      <c r="E6" s="26" t="s">
        <v>46</v>
      </c>
    </row>
    <row r="7" ht="94" customHeight="1" spans="1:8">
      <c r="A7" s="73"/>
      <c r="B7" s="28" t="s">
        <v>47</v>
      </c>
      <c r="C7" s="62"/>
      <c r="D7" s="72" t="s">
        <v>39</v>
      </c>
      <c r="E7" s="74" t="s">
        <v>48</v>
      </c>
    </row>
    <row r="8" ht="15.75" spans="1:8">
      <c r="A8" s="73" t="s">
        <v>12</v>
      </c>
      <c r="B8" s="33" t="s">
        <v>49</v>
      </c>
      <c r="C8" s="62"/>
      <c r="D8" s="62"/>
      <c r="E8" s="75"/>
    </row>
    <row r="9" ht="15.75" spans="1:8">
      <c r="A9" s="73" t="s">
        <v>14</v>
      </c>
      <c r="B9" s="34" t="s">
        <v>50</v>
      </c>
      <c r="D9" s="76"/>
      <c r="E9" s="75"/>
    </row>
    <row r="10" ht="16" customHeight="1" spans="1:8">
      <c r="A10" s="77" t="s">
        <v>16</v>
      </c>
      <c r="B10" s="78" t="s">
        <v>17</v>
      </c>
      <c r="C10" s="78" t="s">
        <v>18</v>
      </c>
      <c r="D10" s="78" t="s">
        <v>19</v>
      </c>
      <c r="E10" s="79" t="s">
        <v>20</v>
      </c>
      <c r="H10" s="80"/>
    </row>
    <row r="11" s="62" customFormat="1" ht="72" customHeight="1" spans="1:8">
      <c r="A11" s="81" t="s">
        <v>21</v>
      </c>
      <c r="B11" s="41" t="s">
        <v>51</v>
      </c>
      <c r="C11" s="82">
        <v>1</v>
      </c>
      <c r="D11" s="43">
        <v>-208.05</v>
      </c>
      <c r="E11" s="44">
        <f>(D11)</f>
        <v>-208.05</v>
      </c>
    </row>
    <row r="12" ht="21" customHeight="1" spans="1:8">
      <c r="A12" s="83" t="s">
        <v>23</v>
      </c>
      <c r="B12" s="84"/>
      <c r="C12" s="85"/>
      <c r="D12" s="85"/>
      <c r="E12" s="86">
        <f>E11</f>
        <v>-208.05</v>
      </c>
    </row>
    <row r="13" ht="15.75" spans="1:8">
      <c r="A13" s="73" t="s">
        <v>52</v>
      </c>
      <c r="B13" s="87"/>
      <c r="C13" s="87"/>
      <c r="D13" s="87"/>
      <c r="E13" s="88"/>
    </row>
    <row r="14" ht="12" customHeight="1" spans="1:8">
      <c r="A14" s="89"/>
      <c r="E14" s="75"/>
    </row>
    <row r="15" ht="13" customHeight="1" spans="1:8">
      <c r="A15" s="89"/>
      <c r="E15" s="75"/>
    </row>
    <row r="16" ht="15.75" spans="1:8">
      <c r="A16" s="89"/>
      <c r="C16" s="90" t="s">
        <v>53</v>
      </c>
      <c r="D16" s="90"/>
      <c r="E16" s="91"/>
    </row>
    <row r="17" spans="1:5">
      <c r="A17" s="89"/>
      <c r="E17" s="75"/>
    </row>
    <row r="18" ht="14.25" spans="1:5">
      <c r="A18" s="92"/>
      <c r="B18" s="93"/>
      <c r="C18" s="93"/>
      <c r="D18" s="93"/>
      <c r="E18" s="94"/>
    </row>
    <row r="19" spans="1:5">
      <c r="A19" s="95"/>
    </row>
    <row r="20" spans="1:5">
      <c r="A20" s="62"/>
      <c r="B20" s="62"/>
      <c r="C20" s="62"/>
      <c r="D20" s="62"/>
      <c r="E20" s="62"/>
    </row>
    <row r="21" spans="1:5">
      <c r="A21" s="62"/>
      <c r="B21" s="62"/>
      <c r="C21" s="62"/>
      <c r="D21" s="62"/>
      <c r="E21" s="62"/>
    </row>
    <row r="22" spans="1:5">
      <c r="A22" s="62"/>
      <c r="B22" s="62"/>
      <c r="C22" s="62"/>
      <c r="D22" s="62"/>
      <c r="E22" s="62"/>
    </row>
  </sheetData>
  <mergeCells count="8">
    <mergeCell ref="A1:E1"/>
    <mergeCell ref="A2:E2"/>
    <mergeCell ref="A3:E3"/>
    <mergeCell ref="A4:E4"/>
    <mergeCell ref="B6:C6"/>
    <mergeCell ref="A12:B12"/>
    <mergeCell ref="A13:E13"/>
    <mergeCell ref="C16:E16"/>
  </mergeCells>
  <pageMargins left="0.75" right="0.75" top="1" bottom="1" header="0.5" footer="0.5"/>
  <pageSetup paperSize="9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zoomScale="75" zoomScaleNormal="75" workbookViewId="0">
      <selection activeCell="B10" sqref="B10"/>
    </sheetView>
  </sheetViews>
  <sheetFormatPr defaultColWidth="8.66666666666667" defaultRowHeight="13.5" outlineLevelCol="4"/>
  <cols>
    <col min="1" max="1" width="24.1666666666667" style="1" customWidth="1"/>
    <col min="2" max="2" width="35.2916666666667" style="1" customWidth="1"/>
    <col min="3" max="4" width="24.1666666666667" style="1" customWidth="1"/>
    <col min="5" max="5" width="27.7833333333333" style="1" customWidth="1"/>
    <col min="6" max="16384" width="8.66666666666667" style="1"/>
  </cols>
  <sheetData>
    <row r="1" s="1" customFormat="1" ht="36" customHeight="1" spans="1:5">
      <c r="A1" s="4" t="s">
        <v>0</v>
      </c>
      <c r="B1" s="5"/>
      <c r="C1" s="5"/>
      <c r="D1" s="5"/>
      <c r="E1" s="6"/>
    </row>
    <row r="2" s="1" customFormat="1" ht="15" customHeight="1" spans="1:5">
      <c r="A2" s="7" t="s">
        <v>1</v>
      </c>
      <c r="B2" s="8"/>
      <c r="C2" s="8"/>
      <c r="D2" s="8"/>
      <c r="E2" s="9"/>
    </row>
    <row r="3" s="1" customFormat="1" ht="15" customHeight="1" spans="1:5">
      <c r="A3" s="7" t="s">
        <v>2</v>
      </c>
      <c r="B3" s="10"/>
      <c r="C3" s="10"/>
      <c r="D3" s="10"/>
      <c r="E3" s="11"/>
    </row>
    <row r="4" s="1" customFormat="1" ht="29" customHeight="1" spans="1:5">
      <c r="A4" s="12" t="s">
        <v>3</v>
      </c>
      <c r="B4" s="13"/>
      <c r="C4" s="13"/>
      <c r="D4" s="13"/>
      <c r="E4" s="14"/>
    </row>
    <row r="5" s="1" customFormat="1" ht="12" customHeight="1" spans="1:5">
      <c r="A5" s="12"/>
      <c r="B5" s="13"/>
      <c r="C5" s="13"/>
      <c r="D5" s="13"/>
      <c r="E5" s="14"/>
    </row>
    <row r="6" s="1" customFormat="1" ht="14" customHeight="1" spans="1:5">
      <c r="A6" s="15" t="s">
        <v>4</v>
      </c>
      <c r="B6" s="16" t="s">
        <v>5</v>
      </c>
      <c r="C6" s="17"/>
      <c r="D6" s="17"/>
      <c r="E6" s="18"/>
    </row>
    <row r="7" s="1" customFormat="1" ht="15.75" spans="1:5">
      <c r="A7" s="19"/>
      <c r="B7" s="20"/>
      <c r="C7" s="21"/>
      <c r="D7" s="21"/>
      <c r="E7" s="22"/>
    </row>
    <row r="8" s="1" customFormat="1" ht="19" customHeight="1" spans="1:5">
      <c r="A8" s="23" t="s">
        <v>6</v>
      </c>
      <c r="B8" s="24" t="s">
        <v>54</v>
      </c>
      <c r="D8" s="25" t="s">
        <v>7</v>
      </c>
      <c r="E8" s="26" t="s">
        <v>55</v>
      </c>
    </row>
    <row r="9" s="1" customFormat="1" ht="87" customHeight="1" spans="1:5">
      <c r="A9" s="27"/>
      <c r="B9" s="28" t="s">
        <v>56</v>
      </c>
      <c r="C9" s="29"/>
      <c r="D9" s="30" t="s">
        <v>10</v>
      </c>
      <c r="E9" s="31" t="s">
        <v>57</v>
      </c>
    </row>
    <row r="10" s="2" customFormat="1" ht="15" customHeight="1" spans="1:5">
      <c r="A10" s="32" t="s">
        <v>12</v>
      </c>
      <c r="B10" s="33" t="s">
        <v>58</v>
      </c>
      <c r="C10" s="29"/>
      <c r="D10" s="29"/>
      <c r="E10" s="22"/>
    </row>
    <row r="11" s="1" customFormat="1" ht="15" customHeight="1" spans="1:5">
      <c r="A11" s="32" t="s">
        <v>14</v>
      </c>
      <c r="B11" s="34" t="s">
        <v>59</v>
      </c>
      <c r="C11" s="35"/>
      <c r="D11" s="21"/>
      <c r="E11" s="22"/>
    </row>
    <row r="12" s="3" customFormat="1" ht="15.75" spans="1:5">
      <c r="A12" s="36" t="s">
        <v>16</v>
      </c>
      <c r="B12" s="37" t="s">
        <v>17</v>
      </c>
      <c r="C12" s="37" t="s">
        <v>18</v>
      </c>
      <c r="D12" s="38" t="s">
        <v>19</v>
      </c>
      <c r="E12" s="39" t="s">
        <v>20</v>
      </c>
    </row>
    <row r="13" s="1" customFormat="1" ht="105" customHeight="1" spans="1:5">
      <c r="A13" s="40" t="s">
        <v>21</v>
      </c>
      <c r="B13" s="41" t="s">
        <v>60</v>
      </c>
      <c r="C13" s="42">
        <v>2</v>
      </c>
      <c r="D13" s="43">
        <v>477.41</v>
      </c>
      <c r="E13" s="44">
        <f>D13*C13</f>
        <v>954.82</v>
      </c>
    </row>
    <row r="14" s="1" customFormat="1" ht="19" customHeight="1" spans="1:5">
      <c r="A14" s="45" t="s">
        <v>23</v>
      </c>
      <c r="B14" s="46"/>
      <c r="C14" s="47"/>
      <c r="D14" s="48"/>
      <c r="E14" s="44">
        <f>E13</f>
        <v>954.82</v>
      </c>
    </row>
    <row r="15" s="1" customFormat="1" ht="15" spans="1:5">
      <c r="A15" s="49" t="s">
        <v>61</v>
      </c>
      <c r="B15" s="50"/>
      <c r="C15" s="50"/>
      <c r="D15" s="50"/>
      <c r="E15" s="51"/>
    </row>
    <row r="16" s="1" customFormat="1" ht="15" spans="1:5">
      <c r="A16" s="52"/>
      <c r="B16" s="53"/>
      <c r="C16" s="53"/>
      <c r="D16" s="53"/>
      <c r="E16" s="54"/>
    </row>
    <row r="17" s="1" customFormat="1" spans="1:5">
      <c r="A17" s="55"/>
      <c r="B17" s="56"/>
      <c r="C17" s="21"/>
      <c r="D17" s="21"/>
      <c r="E17" s="22"/>
    </row>
    <row r="18" s="1" customFormat="1" ht="15.75" spans="1:5">
      <c r="A18" s="57"/>
      <c r="B18" s="21"/>
      <c r="C18" s="21"/>
      <c r="D18" s="8" t="s">
        <v>0</v>
      </c>
      <c r="E18" s="58"/>
    </row>
    <row r="19" s="1" customFormat="1" ht="14.25" spans="1:5">
      <c r="A19" s="59"/>
      <c r="B19" s="60"/>
      <c r="C19" s="60"/>
      <c r="D19" s="60"/>
      <c r="E19" s="61"/>
    </row>
  </sheetData>
  <mergeCells count="9">
    <mergeCell ref="A1:E1"/>
    <mergeCell ref="A2:E2"/>
    <mergeCell ref="A3:E3"/>
    <mergeCell ref="A4:E4"/>
    <mergeCell ref="A14:B14"/>
    <mergeCell ref="C14:D14"/>
    <mergeCell ref="A15:E15"/>
    <mergeCell ref="A16:E16"/>
    <mergeCell ref="D18:E18"/>
  </mergeCells>
  <pageMargins left="0.25" right="0.25" top="0.75" bottom="0.75" header="0.298611111111111" footer="0.298611111111111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德国</vt:lpstr>
      <vt:lpstr>法国</vt:lpstr>
      <vt:lpstr>西班牙</vt:lpstr>
      <vt:lpstr>意大利</vt:lpstr>
      <vt:lpstr>贷记单</vt:lpstr>
      <vt:lpstr>社区企业不用征税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bamboosang</dc:creator>
  <cp:lastModifiedBy>moyinm</cp:lastModifiedBy>
  <dcterms:created xsi:type="dcterms:W3CDTF">2023-01-12T03:18:00Z</dcterms:created>
  <dcterms:modified xsi:type="dcterms:W3CDTF">2026-02-03T10:27:32Z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38704DD9522E40BBBF80CCD5D530C6F5_13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