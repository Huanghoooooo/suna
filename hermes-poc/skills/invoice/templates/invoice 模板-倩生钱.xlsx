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德国" sheetId="10" r:id="rId1"/>
    <sheet name="法国" sheetId="12" r:id="rId2"/>
    <sheet name="意大利" sheetId="13" r:id="rId3"/>
    <sheet name="西班牙" sheetId="14" r:id="rId4"/>
    <sheet name="英国" sheetId="16" r:id="rId5"/>
    <sheet name="贷记单" sheetId="5" r:id="rId6"/>
    <sheet name="德语发票" sheetId="15" r:id="rId7"/>
    <sheet name="税率计算" sheetId="11" r:id="rId8"/>
  </sheets>
  <definedNames>
    <definedName name="_xlnm.Print_Area" localSheetId="5">贷记单!$A$1:$E$18</definedName>
    <definedName name="_xlnm.Print_Area" localSheetId="0">德国!$A$1:$E$20</definedName>
    <definedName name="_xlnm.Print_Area" localSheetId="1">法国!$A$1:$E$20</definedName>
    <definedName name="_xlnm.Print_Area" localSheetId="2">意大利!$A$1:$E$20</definedName>
    <definedName name="_xlnm.Print_Area" localSheetId="3">西班牙!$A$1:$E$20</definedName>
    <definedName name="_xlnm.Print_Area" localSheetId="6">德语发票!$A$1:$E$20</definedName>
    <definedName name="_xlnm.Print_Area" localSheetId="4">英国!$A$1:$E$20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<sst xmlns="http://schemas.openxmlformats.org/spreadsheetml/2006/main" count="210" uniqueCount="92">
  <si>
    <t>Zhengzhou Qianshengqian Department Store Retail Co., Ltd.</t>
  </si>
  <si>
    <t>No. 5, Unit 2, Building 12, Shigeng Community, Longzihu Office, Zhengzhou City, Henan Province</t>
  </si>
  <si>
    <t>shengqian99a@outlook.com</t>
  </si>
  <si>
    <t>COMMERCIAL INVOICE</t>
  </si>
  <si>
    <t>Seller VAT</t>
  </si>
  <si>
    <t>DE452386604</t>
  </si>
  <si>
    <t>Customer information</t>
  </si>
  <si>
    <t>Invoice date:</t>
  </si>
  <si>
    <t>31,December,2025</t>
  </si>
  <si>
    <t>Wattstraße 21
Berlin
13355
Germany</t>
  </si>
  <si>
    <t>Order number:</t>
  </si>
  <si>
    <t xml:space="preserve"># 305-0601624-5858716 </t>
  </si>
  <si>
    <t>Invoice</t>
  </si>
  <si>
    <r>
      <rPr>
        <b/>
        <sz val="11"/>
        <color theme="1"/>
        <rFont val="Calibri"/>
        <charset val="134"/>
      </rPr>
      <t>DE-</t>
    </r>
    <r>
      <rPr>
        <sz val="11"/>
        <color theme="1"/>
        <rFont val="Calibri"/>
        <charset val="134"/>
      </rPr>
      <t xml:space="preserve">305-0601624-5858716 </t>
    </r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</si>
  <si>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</si>
  <si>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</si>
  <si>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</si>
  <si>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</si>
  <si>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</si>
  <si>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</si>
  <si>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</si>
  <si>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Trisruvian Aktenvernichter Automatischer Einzug Professionell: P5 Mikroschnitt</t>
  </si>
  <si>
    <t>Total</t>
  </si>
  <si>
    <t>TOTAL AMOUNT: SAY EURO THREE HUNDRED AND SIXTEEN AND POINT TWENTY ONLY .</t>
  </si>
  <si>
    <t>Net</t>
  </si>
  <si>
    <t>VAT 19%</t>
  </si>
  <si>
    <t xml:space="preserve">Zhengzhou Qianshengqian Department Store Retail Co., Ltd.  </t>
  </si>
  <si>
    <t>FR72942006305</t>
  </si>
  <si>
    <t>rue des martinets
l'arbresle
69210
France</t>
  </si>
  <si>
    <t xml:space="preserve"># 406-3996942-0251504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</si>
  <si>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406-3996942-0251504 </t>
    </r>
  </si>
  <si>
    <t>Trisruvian Destructeur de Documents Professionnel: 150 Feuilles P-4 Micro Coupe Broyeur Papier Électrique</t>
  </si>
  <si>
    <t>TOTAL AMOUNT: SAY EURO TWO HUNDRED AND EIGHT AND POINT FIVE ONLY.</t>
  </si>
  <si>
    <t>VAT 20%</t>
  </si>
  <si>
    <t>via Dell'artigianato 2
Scala A Piano 3
Carugate
Milano
20061
Italy</t>
  </si>
  <si>
    <t xml:space="preserve"># 408-5040187-8405163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</si>
  <si>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408-5040187-8405163 </t>
    </r>
  </si>
  <si>
    <t>Trisruvian Distruggi Documenti Professionale Automatico: 150 Fogli Microframmenti P4 40 Minuti</t>
  </si>
  <si>
    <t>TOTAL AMOUNT: SAY EURO ONE HUNDRED AND NINETY EIGHT AND POINT FIFTY FIVE ONLY.</t>
  </si>
  <si>
    <t>VAT 22%</t>
  </si>
  <si>
    <t>14-01-2026</t>
  </si>
  <si>
    <t>Jesús maría Martínez CalvoPOOFICINA
Polígono industrial comarca 2, calle A,nunero 55
Esparza de Galar
Navarra
31191
Spain</t>
  </si>
  <si>
    <t># 402-4227064-3981928</t>
  </si>
  <si>
    <t>ES-402-4227064-3981928</t>
  </si>
  <si>
    <t>Trisruvian Destructora Papel Automática Profesional: 400 Hojas Microcorte P-5 Non Stop Destruye Tarjetas/Grapas con Cubo 50L para Oficina Casa Clínicas Hospitales Centros Educativos</t>
  </si>
  <si>
    <t>TOTAL AMOUNT: SAY EURO THREE HUNDRED AND FIFTEEN POINT SEVENTY THREE ONLY</t>
  </si>
  <si>
    <t>VAT 21%</t>
  </si>
  <si>
    <t>GB487740741</t>
  </si>
  <si>
    <t>CREDIT NOTE</t>
  </si>
  <si>
    <t>To</t>
  </si>
  <si>
    <t>CEIP NTRA. SRA. DE LA SOLEDAD</t>
  </si>
  <si>
    <t>19,December,2025</t>
  </si>
  <si>
    <t>CIF: 2868409J
C/ Fco. de Quevedo, 3. Cubas de la Sagra 28978- Madrid
Spain</t>
  </si>
  <si>
    <t>order number:</t>
  </si>
  <si>
    <t xml:space="preserve"># 403-3222634-8687539 </t>
  </si>
  <si>
    <t>0005 credit note</t>
  </si>
  <si>
    <t>11,November,2025</t>
  </si>
  <si>
    <t xml:space="preserve"> Trisruvian Destructora Papel Automática Profesional: 400 Hojas Microcorte P-5 Non Stop</t>
  </si>
  <si>
    <t>TOTAL AMOUNT: SAY EURO MINUS THREE HUNDRED AND SEVENTY ONE ONLY.</t>
  </si>
  <si>
    <t>VAT Reverse Charge. Customer to account for VAT.</t>
  </si>
  <si>
    <t>MIRAJ COMMERCE S.R.L.</t>
  </si>
  <si>
    <t>Str. Şatrei, Nr. 12, Comuna Albeşti, Sat Măscăteni, Județ Botoşani, 717009, Romania</t>
  </si>
  <si>
    <t>E-mail: MIRAJCOMMERCESRL@outlook.com</t>
  </si>
  <si>
    <t>Handelsrechnung</t>
  </si>
  <si>
    <t>Umsatzsteuer-ID​</t>
  </si>
  <si>
    <t>RO52171429</t>
  </si>
  <si>
    <t>Kundeninformationen</t>
  </si>
  <si>
    <t>STEPHANE ANNE- THELEM ASSURANCES</t>
  </si>
  <si>
    <t>Rechnungsdatum:</t>
  </si>
  <si>
    <t>17,December,2025</t>
  </si>
  <si>
    <t>2 rue des Gallois
EVRECY
14210
France</t>
  </si>
  <si>
    <t>Bestellnummer:</t>
  </si>
  <si>
    <t xml:space="preserve"># 402-0963979-2773135 </t>
  </si>
  <si>
    <t>Rechnung</t>
  </si>
  <si>
    <t xml:space="preserve">RO-402-0963979-2773135 </t>
  </si>
  <si>
    <t>Lieferdatum</t>
  </si>
  <si>
    <t>12,December,2025</t>
  </si>
  <si>
    <t>Zeichen &amp; Nr.</t>
  </si>
  <si>
    <t>Beschreibung der Waren</t>
  </si>
  <si>
    <t>Menge</t>
  </si>
  <si>
    <t>Einzelpreis (EUR)</t>
  </si>
  <si>
    <t>Gesamtbetrag (EUR)</t>
  </si>
  <si>
    <t>o. M.</t>
  </si>
  <si>
    <t>Trisruvian Aktenvernichter Automatischer Einzug Professionell: P5 Mikroschnitt 400 Blatt Profi Schredder</t>
  </si>
  <si>
    <t>Gesamt</t>
  </si>
  <si>
    <t>GESAMTBETRAG: DREIHUNDERTEINUNDVIERZIG EURO NULL CT</t>
  </si>
  <si>
    <t>Netto</t>
  </si>
  <si>
    <t>Umsatzsteuer 19%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</si>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</sst>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12"/>
      <name val="Calibri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sz val="22"/>
      <color theme="1"/>
      <name val="Arial Black"/>
      <charset val="134"/>
    </font>
    <font>
      <sz val="14"/>
      <color theme="1"/>
      <name val="Times New Roman"/>
      <charset val="134"/>
    </font>
    <font>
      <sz val="14"/>
      <name val="Times New Roman"/>
      <charset val="0"/>
    </font>
    <font>
      <sz val="14"/>
      <name val="Times New Roman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b/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21" applyNumberFormat="0" applyAlignment="0" applyProtection="0">
      <alignment vertical="center"/>
    </xf>
    <xf numFmtId="0" fontId="27" fillId="4" borderId="22" applyNumberFormat="0" applyAlignment="0" applyProtection="0">
      <alignment vertical="center"/>
    </xf>
    <xf numFmtId="0" fontId="28" fillId="4" borderId="21" applyNumberFormat="0" applyAlignment="0" applyProtection="0">
      <alignment vertical="center"/>
    </xf>
    <xf numFmtId="0" fontId="29" fillId="5" borderId="23" applyNumberFormat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0" xfId="0" applyFo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0" fillId="0" borderId="5" xfId="0" applyBorder="1">
      <alignment vertical="center"/>
    </xf>
    <xf numFmtId="0" fontId="2" fillId="0" borderId="0" xfId="0" applyFont="1">
      <alignment vertical="center"/>
    </xf>
    <xf numFmtId="0" fontId="7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center"/>
    </xf>
    <xf numFmtId="0" fontId="10" fillId="0" borderId="5" xfId="0" applyFont="1" applyBorder="1">
      <alignment vertical="center"/>
    </xf>
    <xf numFmtId="177" fontId="0" fillId="0" borderId="0" xfId="0" applyNumberForma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 wrapText="1"/>
    </xf>
    <xf numFmtId="176" fontId="2" fillId="0" borderId="10" xfId="0" applyNumberFormat="1" applyFont="1" applyFill="1" applyBorder="1" applyAlignment="1">
      <alignment horizontal="center" vertical="center" wrapText="1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2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justify" vertical="center"/>
    </xf>
    <xf numFmtId="0" fontId="16" fillId="0" borderId="0" xfId="0" applyFont="1" applyBorder="1">
      <alignment vertical="center"/>
    </xf>
    <xf numFmtId="0" fontId="16" fillId="0" borderId="1" xfId="0" applyFont="1" applyBorder="1">
      <alignment vertical="center"/>
    </xf>
    <xf numFmtId="0" fontId="2" fillId="0" borderId="0" xfId="0" applyFont="1" applyFill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1" xfId="0" applyFont="1" applyBorder="1">
      <alignment vertical="center"/>
    </xf>
    <xf numFmtId="0" fontId="16" fillId="0" borderId="12" xfId="0" applyFont="1" applyBorder="1">
      <alignment vertical="center"/>
    </xf>
    <xf numFmtId="0" fontId="0" fillId="0" borderId="9" xfId="0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5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16" fillId="0" borderId="5" xfId="0" applyFont="1" applyFill="1" applyBorder="1" applyAlignment="1">
      <alignment horizontal="right" vertical="center"/>
    </xf>
    <xf numFmtId="0" fontId="0" fillId="0" borderId="17" xfId="0" applyBorder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qian99a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qian99a@outloo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qian99a@outlook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qian99a@outlook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qian99a@outlook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qian99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4" t="s">
        <v>0</v>
      </c>
      <c r="B1" s="55"/>
      <c r="C1" s="55"/>
      <c r="D1" s="55"/>
      <c r="E1" s="56"/>
    </row>
    <row r="2" ht="16" customHeight="1" spans="1:8">
      <c r="A2" s="57" t="s">
        <v>1</v>
      </c>
      <c r="B2" s="58"/>
      <c r="C2" s="58"/>
      <c r="D2" s="58"/>
      <c r="E2" s="59"/>
    </row>
    <row r="3" ht="16" customHeight="1" spans="1:8">
      <c r="A3" s="60" t="s">
        <v>2</v>
      </c>
      <c r="B3" s="61"/>
      <c r="C3" s="61"/>
      <c r="D3" s="61"/>
      <c r="E3" s="62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5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26" t="s">
        <v>8</v>
      </c>
    </row>
    <row r="9" ht="105" customHeight="1" spans="1:8">
      <c r="A9" s="21"/>
      <c r="B9" s="27" t="s">
        <v>9</v>
      </c>
      <c r="C9" s="4"/>
      <c r="D9" s="28" t="s">
        <v>10</v>
      </c>
      <c r="E9" s="29" t="s">
        <v>11</v>
      </c>
      <c r="H9" s="30"/>
    </row>
    <row r="10" s="4" customFormat="1" ht="15" customHeight="1" spans="1:8">
      <c r="A10" s="1" t="s">
        <v>12</v>
      </c>
      <c r="B10" s="86" t="s">
        <v>13</v>
      </c>
      <c r="E10" s="19"/>
    </row>
    <row r="11" ht="15" customHeight="1" spans="1:8">
      <c r="A11" s="1" t="s">
        <v>14</v>
      </c>
      <c r="B11" s="87">
        <v>46021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65" customHeight="1" spans="1:8">
      <c r="A13" s="37" t="s">
        <v>20</v>
      </c>
      <c r="B13" s="38" t="s">
        <v>21</v>
      </c>
      <c r="C13" s="39">
        <v>1</v>
      </c>
      <c r="D13" s="40">
        <v>316.2</v>
      </c>
      <c r="E13" s="41">
        <f>D13</f>
        <v>316.2</v>
      </c>
    </row>
    <row r="14" ht="21" customHeight="1" spans="1:8">
      <c r="A14" s="42" t="s">
        <v>22</v>
      </c>
      <c r="B14" s="43"/>
      <c r="C14" s="39"/>
      <c r="D14" s="44"/>
      <c r="E14" s="41">
        <f>E13</f>
        <v>316.2</v>
      </c>
    </row>
    <row r="15" ht="15.75" spans="1:8">
      <c r="A15" s="45" t="s">
        <v>23</v>
      </c>
      <c r="B15" s="46"/>
      <c r="C15" s="46"/>
      <c r="D15" s="46"/>
      <c r="E15" s="47"/>
    </row>
    <row r="16" ht="15.75" spans="1:8">
      <c r="A16" s="1" t="s">
        <v>24</v>
      </c>
      <c r="B16" s="2">
        <f>E14/(1+0.19)</f>
        <v>265.714285714286</v>
      </c>
      <c r="E16" s="19"/>
    </row>
    <row r="17" ht="15.75" spans="1:7">
      <c r="A17" s="1" t="s">
        <v>25</v>
      </c>
      <c r="B17" s="2">
        <f>B16*0.19</f>
        <v>50.4857142857143</v>
      </c>
      <c r="E17" s="19"/>
    </row>
    <row r="18" ht="15.75" spans="1:7">
      <c r="A18" s="1" t="s">
        <v>22</v>
      </c>
      <c r="B18" s="2">
        <f>B16+B17</f>
        <v>316.2</v>
      </c>
      <c r="E18" s="19"/>
    </row>
    <row r="19" ht="15.75" spans="1:7">
      <c r="A19" s="48"/>
      <c r="D19" s="10" t="s">
        <v>26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shengqian99a@outlook.com" tooltip="mailto:shengqian99a@outlook.com"/>
  </hyperlink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4" t="s">
        <v>0</v>
      </c>
      <c r="B1" s="55"/>
      <c r="C1" s="55"/>
      <c r="D1" s="55"/>
      <c r="E1" s="56"/>
    </row>
    <row r="2" ht="16" customHeight="1" spans="1:8">
      <c r="A2" s="57" t="s">
        <v>1</v>
      </c>
      <c r="B2" s="58"/>
      <c r="C2" s="58"/>
      <c r="D2" s="58"/>
      <c r="E2" s="59"/>
    </row>
    <row r="3" ht="16" customHeight="1" spans="1:8">
      <c r="A3" s="60" t="s">
        <v>2</v>
      </c>
      <c r="B3" s="61"/>
      <c r="C3" s="61"/>
      <c r="D3" s="61"/>
      <c r="E3" s="62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27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85">
        <v>46026</v>
      </c>
    </row>
    <row r="9" ht="105" customHeight="1" spans="1:8">
      <c r="A9" s="21"/>
      <c r="B9" s="27" t="s">
        <v>28</v>
      </c>
      <c r="C9" s="4"/>
      <c r="D9" s="28" t="s">
        <v>10</v>
      </c>
      <c r="E9" s="29" t="s">
        <v>29</v>
      </c>
      <c r="H9" s="30"/>
    </row>
    <row r="10" s="4" customFormat="1" ht="15" customHeight="1" spans="1:8">
      <c r="A10" s="1" t="s">
        <v>12</v>
      </c>
      <c r="B10" s="86" t="s">
        <v>30</v>
      </c>
      <c r="E10" s="19"/>
    </row>
    <row r="11" ht="15" customHeight="1" spans="1:8">
      <c r="A11" s="1" t="s">
        <v>14</v>
      </c>
      <c r="B11" s="87">
        <v>46023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65" customHeight="1" spans="1:8">
      <c r="A13" s="37" t="s">
        <v>20</v>
      </c>
      <c r="B13" s="38" t="s">
        <v>31</v>
      </c>
      <c r="C13" s="39">
        <v>1</v>
      </c>
      <c r="D13" s="40">
        <v>208.05</v>
      </c>
      <c r="E13" s="41">
        <f>D13</f>
        <v>208.05</v>
      </c>
    </row>
    <row r="14" ht="21" customHeight="1" spans="1:8">
      <c r="A14" s="42" t="s">
        <v>22</v>
      </c>
      <c r="B14" s="43"/>
      <c r="C14" s="39"/>
      <c r="D14" s="44"/>
      <c r="E14" s="41">
        <f>E13</f>
        <v>208.05</v>
      </c>
    </row>
    <row r="15" ht="15.75" spans="1:8">
      <c r="A15" s="45" t="s">
        <v>32</v>
      </c>
      <c r="B15" s="46"/>
      <c r="C15" s="46"/>
      <c r="D15" s="46"/>
      <c r="E15" s="47"/>
    </row>
    <row r="16" ht="15.75" spans="1:8">
      <c r="A16" s="1" t="s">
        <v>24</v>
      </c>
      <c r="B16" s="2">
        <f>E14/(1+0.2)</f>
        <v>173.375</v>
      </c>
      <c r="E16" s="19"/>
    </row>
    <row r="17" ht="15.75" spans="1:7">
      <c r="A17" s="1" t="s">
        <v>33</v>
      </c>
      <c r="B17" s="2">
        <f>B16*0.2</f>
        <v>34.675</v>
      </c>
      <c r="E17" s="19"/>
    </row>
    <row r="18" ht="15.75" spans="1:7">
      <c r="A18" s="1" t="s">
        <v>22</v>
      </c>
      <c r="B18" s="2">
        <f>B16+B17</f>
        <v>208.05</v>
      </c>
      <c r="E18" s="19"/>
    </row>
    <row r="19" ht="15.75" spans="1:7">
      <c r="A19" s="48"/>
      <c r="D19" s="10" t="s">
        <v>26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shengqian99a@outlook.com" tooltip="mailto:shengqian99a@outlook.com"/>
  </hyperlink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4" t="s">
        <v>0</v>
      </c>
      <c r="B1" s="55"/>
      <c r="C1" s="55"/>
      <c r="D1" s="55"/>
      <c r="E1" s="56"/>
    </row>
    <row r="2" ht="16" customHeight="1" spans="1:8">
      <c r="A2" s="57" t="s">
        <v>1</v>
      </c>
      <c r="B2" s="58"/>
      <c r="C2" s="58"/>
      <c r="D2" s="58"/>
      <c r="E2" s="59"/>
    </row>
    <row r="3" ht="16" customHeight="1" spans="1:8">
      <c r="A3" s="60" t="s">
        <v>2</v>
      </c>
      <c r="B3" s="61"/>
      <c r="C3" s="61"/>
      <c r="D3" s="61"/>
      <c r="E3" s="62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/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85">
        <v>46026</v>
      </c>
    </row>
    <row r="9" ht="105" customHeight="1" spans="1:8">
      <c r="A9" s="21"/>
      <c r="B9" s="27" t="s">
        <v>34</v>
      </c>
      <c r="C9" s="4"/>
      <c r="D9" s="28" t="s">
        <v>10</v>
      </c>
      <c r="E9" s="29" t="s">
        <v>35</v>
      </c>
      <c r="H9" s="30"/>
    </row>
    <row r="10" s="4" customFormat="1" ht="15" customHeight="1" spans="1:8">
      <c r="A10" s="1" t="s">
        <v>12</v>
      </c>
      <c r="B10" s="86" t="s">
        <v>36</v>
      </c>
      <c r="E10" s="19"/>
    </row>
    <row r="11" ht="15" customHeight="1" spans="1:8">
      <c r="A11" s="1" t="s">
        <v>14</v>
      </c>
      <c r="B11" s="87">
        <v>46022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65" customHeight="1" spans="1:8">
      <c r="A13" s="37" t="s">
        <v>20</v>
      </c>
      <c r="B13" s="38" t="s">
        <v>37</v>
      </c>
      <c r="C13" s="39">
        <v>1</v>
      </c>
      <c r="D13" s="40">
        <v>198.55</v>
      </c>
      <c r="E13" s="41">
        <f>D13</f>
        <v>198.55</v>
      </c>
    </row>
    <row r="14" ht="21" customHeight="1" spans="1:8">
      <c r="A14" s="42" t="s">
        <v>22</v>
      </c>
      <c r="B14" s="43"/>
      <c r="C14" s="39"/>
      <c r="D14" s="44"/>
      <c r="E14" s="41">
        <f>E13</f>
        <v>198.55</v>
      </c>
    </row>
    <row r="15" ht="15.75" spans="1:8">
      <c r="A15" s="45" t="s">
        <v>38</v>
      </c>
      <c r="B15" s="46"/>
      <c r="C15" s="46"/>
      <c r="D15" s="46"/>
      <c r="E15" s="47"/>
    </row>
    <row r="16" ht="15.75" spans="1:8">
      <c r="A16" s="1" t="s">
        <v>24</v>
      </c>
      <c r="B16" s="2">
        <f>E13/(1+0.22)</f>
        <v>162.745901639344</v>
      </c>
      <c r="E16" s="19"/>
    </row>
    <row r="17" ht="15.75" spans="1:7">
      <c r="A17" s="1" t="s">
        <v>39</v>
      </c>
      <c r="B17" s="2">
        <f>B16*0.22</f>
        <v>35.8040983606557</v>
      </c>
      <c r="E17" s="19"/>
    </row>
    <row r="18" ht="15.75" spans="1:7">
      <c r="A18" s="1" t="s">
        <v>22</v>
      </c>
      <c r="B18" s="2">
        <f>B16+B17</f>
        <v>198.55</v>
      </c>
      <c r="E18" s="19"/>
    </row>
    <row r="19" ht="15.75" spans="1:7">
      <c r="A19" s="48"/>
      <c r="D19" s="10" t="s">
        <v>26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shengqian99a@outlook.com" tooltip="mailto:shengqian99a@outlook.com"/>
  </hyperlink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4" t="s">
        <v>0</v>
      </c>
      <c r="B1" s="55"/>
      <c r="C1" s="55"/>
      <c r="D1" s="55"/>
      <c r="E1" s="56"/>
    </row>
    <row r="2" ht="16" customHeight="1" spans="1:8">
      <c r="A2" s="57" t="s">
        <v>1</v>
      </c>
      <c r="B2" s="58"/>
      <c r="C2" s="58"/>
      <c r="D2" s="58"/>
      <c r="E2" s="59"/>
    </row>
    <row r="3" ht="16" customHeight="1" spans="1:8">
      <c r="A3" s="60" t="s">
        <v>2</v>
      </c>
      <c r="B3" s="61"/>
      <c r="C3" s="61"/>
      <c r="D3" s="61"/>
      <c r="E3" s="62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/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85" t="s">
        <v>40</v>
      </c>
    </row>
    <row r="9" ht="105" spans="1:8">
      <c r="A9" s="21"/>
      <c r="B9" s="27" t="s">
        <v>41</v>
      </c>
      <c r="C9" s="4"/>
      <c r="D9" s="28" t="s">
        <v>10</v>
      </c>
      <c r="E9" s="29" t="s">
        <v>42</v>
      </c>
      <c r="H9" s="30"/>
    </row>
    <row r="10" s="4" customFormat="1" ht="15" customHeight="1" spans="1:8">
      <c r="A10" s="1" t="s">
        <v>12</v>
      </c>
      <c r="B10" s="86" t="s">
        <v>43</v>
      </c>
      <c r="E10" s="19"/>
    </row>
    <row r="11" ht="15" customHeight="1" spans="1:8">
      <c r="A11" s="1" t="s">
        <v>14</v>
      </c>
      <c r="B11" s="87" t="s">
        <v>40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46" customHeight="1" spans="1:8">
      <c r="A13" s="37" t="s">
        <v>20</v>
      </c>
      <c r="B13" s="38" t="s">
        <v>44</v>
      </c>
      <c r="C13" s="39">
        <v>1</v>
      </c>
      <c r="D13" s="40">
        <v>315.73</v>
      </c>
      <c r="E13" s="41">
        <v>315.73</v>
      </c>
    </row>
    <row r="14" ht="21" customHeight="1" spans="1:8">
      <c r="A14" s="42" t="s">
        <v>22</v>
      </c>
      <c r="B14" s="43"/>
      <c r="C14" s="39"/>
      <c r="D14" s="44"/>
      <c r="E14" s="41">
        <f>E13</f>
        <v>315.73</v>
      </c>
    </row>
    <row r="15" ht="15.75" spans="1:8">
      <c r="A15" s="45" t="s">
        <v>45</v>
      </c>
      <c r="B15" s="46"/>
      <c r="C15" s="46"/>
      <c r="D15" s="46"/>
      <c r="E15" s="47"/>
    </row>
    <row r="16" ht="15.75" spans="1:8">
      <c r="A16" s="1" t="s">
        <v>24</v>
      </c>
      <c r="B16" s="2">
        <f>E13/(1+0.21)</f>
        <v>260.933884297521</v>
      </c>
      <c r="E16" s="19"/>
    </row>
    <row r="17" ht="15.75" spans="1:7">
      <c r="A17" s="1" t="s">
        <v>46</v>
      </c>
      <c r="B17" s="2">
        <f>B16*0.21</f>
        <v>54.7961157024793</v>
      </c>
      <c r="E17" s="19"/>
    </row>
    <row r="18" ht="15.75" spans="1:7">
      <c r="A18" s="1" t="s">
        <v>22</v>
      </c>
      <c r="B18" s="2">
        <f>B16+B17</f>
        <v>315.73</v>
      </c>
      <c r="E18" s="19"/>
    </row>
    <row r="19" ht="19" customHeight="1" spans="1:7">
      <c r="A19" s="48"/>
      <c r="D19" s="10" t="s">
        <v>26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shengqian99a@outlook.com" tooltip="mailto:shengqian99a@outlook.com"/>
  </hyperlink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4" t="s">
        <v>0</v>
      </c>
      <c r="B1" s="55"/>
      <c r="C1" s="55"/>
      <c r="D1" s="55"/>
      <c r="E1" s="56"/>
    </row>
    <row r="2" ht="16" customHeight="1" spans="1:8">
      <c r="A2" s="57" t="s">
        <v>1</v>
      </c>
      <c r="B2" s="58"/>
      <c r="C2" s="58"/>
      <c r="D2" s="58"/>
      <c r="E2" s="59"/>
    </row>
    <row r="3" ht="16" customHeight="1" spans="1:8">
      <c r="A3" s="60" t="s">
        <v>2</v>
      </c>
      <c r="B3" s="61"/>
      <c r="C3" s="61"/>
      <c r="D3" s="61"/>
      <c r="E3" s="62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47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85" t="s">
        <v>40</v>
      </c>
    </row>
    <row r="9" ht="105" spans="1:8">
      <c r="A9" s="21"/>
      <c r="B9" s="27" t="s">
        <v>41</v>
      </c>
      <c r="C9" s="4"/>
      <c r="D9" s="28" t="s">
        <v>10</v>
      </c>
      <c r="E9" s="29" t="s">
        <v>42</v>
      </c>
      <c r="H9" s="30"/>
    </row>
    <row r="10" s="4" customFormat="1" ht="15" customHeight="1" spans="1:8">
      <c r="A10" s="1" t="s">
        <v>12</v>
      </c>
      <c r="B10" s="86" t="s">
        <v>43</v>
      </c>
      <c r="E10" s="19"/>
    </row>
    <row r="11" ht="15" customHeight="1" spans="1:8">
      <c r="A11" s="1" t="s">
        <v>14</v>
      </c>
      <c r="B11" s="87" t="s">
        <v>40</v>
      </c>
      <c r="D11" s="32"/>
      <c r="E11" s="19"/>
    </row>
    <row r="12" s="5" customFormat="1" ht="15.75" spans="1:8">
      <c r="A12" s="33" t="s">
        <v>15</v>
      </c>
      <c r="B12" s="34" t="s">
        <v>16</v>
      </c>
      <c r="C12" s="35" t="s">
        <v>17</v>
      </c>
      <c r="D12" s="35" t="s">
        <v>18</v>
      </c>
      <c r="E12" s="36" t="s">
        <v>19</v>
      </c>
    </row>
    <row r="13" ht="46" customHeight="1" spans="1:8">
      <c r="A13" s="37" t="s">
        <v>20</v>
      </c>
      <c r="B13" s="38" t="s">
        <v>44</v>
      </c>
      <c r="C13" s="39">
        <v>1</v>
      </c>
      <c r="D13" s="40">
        <v>315.73</v>
      </c>
      <c r="E13" s="41">
        <v>315.73</v>
      </c>
    </row>
    <row r="14" ht="21" customHeight="1" spans="1:8">
      <c r="A14" s="42" t="s">
        <v>22</v>
      </c>
      <c r="B14" s="43"/>
      <c r="C14" s="39"/>
      <c r="D14" s="44"/>
      <c r="E14" s="41">
        <f>E13</f>
        <v>315.73</v>
      </c>
    </row>
    <row r="15" ht="15.75" spans="1:8">
      <c r="A15" s="45" t="s">
        <v>45</v>
      </c>
      <c r="B15" s="46"/>
      <c r="C15" s="46"/>
      <c r="D15" s="46"/>
      <c r="E15" s="47"/>
    </row>
    <row r="16" ht="15.75" spans="1:8">
      <c r="A16" s="1" t="s">
        <v>24</v>
      </c>
      <c r="B16" s="2">
        <f>E13/(1+0.21)</f>
        <v>260.933884297521</v>
      </c>
      <c r="E16" s="19"/>
    </row>
    <row r="17" ht="15.75" spans="1:7">
      <c r="A17" s="1" t="s">
        <v>46</v>
      </c>
      <c r="B17" s="2">
        <f>B16*0.21</f>
        <v>54.7961157024793</v>
      </c>
      <c r="E17" s="19"/>
    </row>
    <row r="18" ht="15.75" spans="1:7">
      <c r="A18" s="1" t="s">
        <v>22</v>
      </c>
      <c r="B18" s="2">
        <f>B16+B17</f>
        <v>315.73</v>
      </c>
      <c r="E18" s="19"/>
    </row>
    <row r="19" ht="19" customHeight="1" spans="1:7">
      <c r="A19" s="48"/>
      <c r="D19" s="10" t="s">
        <v>26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hyperlinks>
    <hyperlink ref="A3" r:id="rId1" display="shengqian99a@outlook.com" tooltip="mailto:shengqian99a@outlook.com"/>
  </hyperlink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A11" sqref="$A11:$XFD11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4" t="s">
        <v>0</v>
      </c>
      <c r="B1" s="55"/>
      <c r="C1" s="55"/>
      <c r="D1" s="55"/>
      <c r="E1" s="56"/>
    </row>
    <row r="2" ht="17" customHeight="1" spans="1:8">
      <c r="A2" s="57" t="s">
        <v>1</v>
      </c>
      <c r="B2" s="58"/>
      <c r="C2" s="58"/>
      <c r="D2" s="58"/>
      <c r="E2" s="59"/>
    </row>
    <row r="3" ht="17" customHeight="1" spans="1:8">
      <c r="A3" s="60" t="s">
        <v>2</v>
      </c>
      <c r="B3" s="61"/>
      <c r="C3" s="61"/>
      <c r="D3" s="61"/>
      <c r="E3" s="62"/>
    </row>
    <row r="4" ht="25" customHeight="1" spans="1:8">
      <c r="A4" s="14" t="s">
        <v>48</v>
      </c>
      <c r="B4" s="15"/>
      <c r="C4" s="15"/>
      <c r="D4" s="15"/>
      <c r="E4" s="16"/>
    </row>
    <row r="5" ht="16" customHeight="1" spans="1:8">
      <c r="A5" s="63"/>
      <c r="B5" s="64"/>
      <c r="C5" s="64"/>
      <c r="D5" s="64"/>
      <c r="E5" s="65"/>
    </row>
    <row r="6" ht="15" customHeight="1" spans="1:8">
      <c r="A6" s="66" t="s">
        <v>49</v>
      </c>
      <c r="B6" s="23" t="s">
        <v>50</v>
      </c>
      <c r="C6" s="24"/>
      <c r="D6" s="67" t="s">
        <v>7</v>
      </c>
      <c r="E6" s="26" t="s">
        <v>51</v>
      </c>
    </row>
    <row r="7" ht="94" customHeight="1" spans="1:8">
      <c r="A7" s="68"/>
      <c r="B7" s="27" t="s">
        <v>52</v>
      </c>
      <c r="C7" s="4"/>
      <c r="D7" s="67" t="s">
        <v>53</v>
      </c>
      <c r="E7" s="29" t="s">
        <v>54</v>
      </c>
    </row>
    <row r="8" ht="15.75" spans="1:8">
      <c r="A8" s="68" t="s">
        <v>12</v>
      </c>
      <c r="B8" s="69" t="s">
        <v>55</v>
      </c>
      <c r="C8" s="4"/>
      <c r="D8" s="4"/>
      <c r="E8" s="19"/>
    </row>
    <row r="9" ht="15.75" spans="1:8">
      <c r="A9" s="68" t="s">
        <v>14</v>
      </c>
      <c r="B9" s="31" t="s">
        <v>56</v>
      </c>
      <c r="D9" s="32"/>
      <c r="E9" s="19"/>
    </row>
    <row r="10" ht="16" customHeight="1" spans="1:8">
      <c r="A10" s="70" t="s">
        <v>15</v>
      </c>
      <c r="B10" s="71" t="s">
        <v>16</v>
      </c>
      <c r="C10" s="71" t="s">
        <v>17</v>
      </c>
      <c r="D10" s="71" t="s">
        <v>18</v>
      </c>
      <c r="E10" s="72" t="s">
        <v>19</v>
      </c>
      <c r="H10" s="30"/>
    </row>
    <row r="11" s="4" customFormat="1" ht="65" customHeight="1" spans="1:8">
      <c r="A11" s="73" t="s">
        <v>20</v>
      </c>
      <c r="B11" s="38" t="s">
        <v>57</v>
      </c>
      <c r="C11" s="39">
        <v>1</v>
      </c>
      <c r="D11" s="40">
        <v>-371</v>
      </c>
      <c r="E11" s="41">
        <f>D11</f>
        <v>-371</v>
      </c>
    </row>
    <row r="12" ht="21" customHeight="1" spans="1:8">
      <c r="A12" s="74" t="s">
        <v>22</v>
      </c>
      <c r="B12" s="75"/>
      <c r="C12" s="76"/>
      <c r="D12" s="76"/>
      <c r="E12" s="77">
        <f>E11</f>
        <v>-371</v>
      </c>
    </row>
    <row r="13" ht="15.75" spans="1:8">
      <c r="A13" s="68" t="s">
        <v>58</v>
      </c>
      <c r="B13" s="78"/>
      <c r="C13" s="78"/>
      <c r="D13" s="78"/>
      <c r="E13" s="79"/>
    </row>
    <row r="14" ht="12" customHeight="1" spans="1:8">
      <c r="A14" s="48"/>
      <c r="E14" s="19"/>
    </row>
    <row r="15" ht="14" customHeight="1" spans="1:8">
      <c r="A15" s="80" t="s">
        <v>59</v>
      </c>
      <c r="B15" s="81"/>
      <c r="E15" s="19"/>
    </row>
    <row r="16" ht="15.75" spans="1:8">
      <c r="A16" s="48"/>
      <c r="C16" s="82" t="s">
        <v>26</v>
      </c>
      <c r="D16" s="82"/>
      <c r="E16" s="83"/>
    </row>
    <row r="17" spans="1:5">
      <c r="A17" s="48"/>
      <c r="E17" s="19"/>
    </row>
    <row r="18" ht="14.25" spans="1:5">
      <c r="A18" s="51"/>
      <c r="B18" s="52"/>
      <c r="C18" s="52"/>
      <c r="D18" s="52"/>
      <c r="E18" s="53"/>
    </row>
    <row r="19" spans="1:5">
      <c r="A19" s="8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9">
    <mergeCell ref="A1:E1"/>
    <mergeCell ref="A2:E2"/>
    <mergeCell ref="A3:E3"/>
    <mergeCell ref="A4:E4"/>
    <mergeCell ref="B6:C6"/>
    <mergeCell ref="A12:B12"/>
    <mergeCell ref="A13:E13"/>
    <mergeCell ref="A15:B15"/>
    <mergeCell ref="C16:E16"/>
  </mergeCells>
  <hyperlinks>
    <hyperlink ref="A3" r:id="rId1" display="shengqian99a@outlook.com" tooltip="mailto:shengqian99a@outlook.com"/>
  </hyperlink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topLeftCell="B1" workbookViewId="0">
      <selection activeCell="B8" sqref="B8:C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6" t="s">
        <v>60</v>
      </c>
      <c r="B1" s="7"/>
      <c r="C1" s="7"/>
      <c r="D1" s="7"/>
      <c r="E1" s="8"/>
    </row>
    <row r="2" ht="16" customHeight="1" spans="1:8">
      <c r="A2" s="9" t="s">
        <v>61</v>
      </c>
      <c r="B2" s="10"/>
      <c r="C2" s="10"/>
      <c r="D2" s="10"/>
      <c r="E2" s="11"/>
    </row>
    <row r="3" ht="16" customHeight="1" spans="1:8">
      <c r="A3" s="9" t="s">
        <v>62</v>
      </c>
      <c r="B3" s="12"/>
      <c r="C3" s="12"/>
      <c r="D3" s="12"/>
      <c r="E3" s="13"/>
    </row>
    <row r="4" ht="29" customHeight="1" spans="1:8">
      <c r="A4" s="14" t="s">
        <v>63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64</v>
      </c>
      <c r="B6" s="20" t="s">
        <v>65</v>
      </c>
      <c r="E6" s="19"/>
    </row>
    <row r="7" ht="15" spans="1:8">
      <c r="A7" s="21"/>
      <c r="B7" s="20"/>
      <c r="E7" s="19"/>
    </row>
    <row r="8" ht="15.75" spans="1:8">
      <c r="A8" s="22" t="s">
        <v>66</v>
      </c>
      <c r="B8" s="23" t="s">
        <v>67</v>
      </c>
      <c r="C8" s="24"/>
      <c r="D8" s="25" t="s">
        <v>68</v>
      </c>
      <c r="E8" s="26" t="s">
        <v>69</v>
      </c>
    </row>
    <row r="9" ht="95" customHeight="1" spans="1:8">
      <c r="A9" s="21"/>
      <c r="B9" s="27" t="s">
        <v>70</v>
      </c>
      <c r="C9" s="4"/>
      <c r="D9" s="28" t="s">
        <v>71</v>
      </c>
      <c r="E9" s="29" t="s">
        <v>72</v>
      </c>
      <c r="H9" s="30"/>
    </row>
    <row r="10" s="4" customFormat="1" ht="15" customHeight="1" spans="1:8">
      <c r="A10" s="1" t="s">
        <v>73</v>
      </c>
      <c r="B10" s="24" t="s">
        <v>74</v>
      </c>
      <c r="E10" s="19"/>
    </row>
    <row r="11" ht="15" customHeight="1" spans="1:8">
      <c r="A11" s="1" t="s">
        <v>75</v>
      </c>
      <c r="B11" s="31" t="s">
        <v>76</v>
      </c>
      <c r="D11" s="32"/>
      <c r="E11" s="19"/>
    </row>
    <row r="12" s="5" customFormat="1" ht="15.75" spans="1:8">
      <c r="A12" s="33" t="s">
        <v>77</v>
      </c>
      <c r="B12" s="34" t="s">
        <v>78</v>
      </c>
      <c r="C12" s="35" t="s">
        <v>79</v>
      </c>
      <c r="D12" s="35" t="s">
        <v>80</v>
      </c>
      <c r="E12" s="36" t="s">
        <v>81</v>
      </c>
    </row>
    <row r="13" ht="70" customHeight="1" spans="1:8">
      <c r="A13" s="37" t="s">
        <v>82</v>
      </c>
      <c r="B13" s="38" t="s">
        <v>83</v>
      </c>
      <c r="C13" s="39">
        <v>1</v>
      </c>
      <c r="D13" s="40">
        <v>391</v>
      </c>
      <c r="E13" s="41">
        <v>341</v>
      </c>
    </row>
    <row r="14" ht="21" customHeight="1" spans="1:8">
      <c r="A14" s="42" t="s">
        <v>84</v>
      </c>
      <c r="B14" s="43"/>
      <c r="C14" s="39"/>
      <c r="D14" s="44"/>
      <c r="E14" s="41">
        <f>E13</f>
        <v>341</v>
      </c>
    </row>
    <row r="15" ht="15.75" spans="1:8">
      <c r="A15" s="45" t="s">
        <v>85</v>
      </c>
      <c r="B15" s="46"/>
      <c r="C15" s="46"/>
      <c r="D15" s="46"/>
      <c r="E15" s="47"/>
    </row>
    <row r="16" ht="15.75" spans="1:8">
      <c r="A16" s="1" t="s">
        <v>86</v>
      </c>
      <c r="B16" s="2">
        <f>E14/(1+0.19)</f>
        <v>286.554621848739</v>
      </c>
      <c r="E16" s="19"/>
    </row>
    <row r="17" ht="15.75" spans="1:7">
      <c r="A17" s="1" t="s">
        <v>87</v>
      </c>
      <c r="B17" s="2">
        <f>B16*0.19</f>
        <v>54.4453781512605</v>
      </c>
      <c r="E17" s="19"/>
    </row>
    <row r="18" ht="15.75" spans="1:7">
      <c r="A18" s="1" t="s">
        <v>84</v>
      </c>
      <c r="B18" s="2">
        <f>B16+B17</f>
        <v>341</v>
      </c>
      <c r="E18" s="19"/>
    </row>
    <row r="19" ht="15.75" spans="1:7">
      <c r="A19" s="48"/>
      <c r="D19" s="10" t="s">
        <v>60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opLeftCell="A2" workbookViewId="0">
      <selection activeCell="C12" sqref="C12"/>
    </sheetView>
  </sheetViews>
  <sheetFormatPr defaultColWidth="9" defaultRowHeight="13.5" outlineLevelCol="2"/>
  <sheetData>
    <row r="1" spans="1:3">
      <c r="A1" t="s">
        <v>88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89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33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90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39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91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46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德国</vt:lpstr>
      <vt:lpstr>法国</vt:lpstr>
      <vt:lpstr>意大利</vt:lpstr>
      <vt:lpstr>西班牙</vt:lpstr>
      <vt:lpstr>英国</vt:lpstr>
      <vt:lpstr>贷记单</vt:lpstr>
      <vt:lpstr>德语发票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2026-02-03T10:26:10Z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368A4EA281844BDD95CD0ADAE90417EE_13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