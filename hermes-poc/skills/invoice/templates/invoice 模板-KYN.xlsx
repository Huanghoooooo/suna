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德国" sheetId="10" r:id="rId1"/>
    <sheet name="法国" sheetId="12" r:id="rId2"/>
    <sheet name="意大利" sheetId="13" r:id="rId3"/>
    <sheet name="西班牙" sheetId="14" r:id="rId4"/>
    <sheet name="贷记单" sheetId="5" r:id="rId5"/>
    <sheet name="税率计算" sheetId="11" r:id="rId6"/>
  </sheets>
  <definedNames>
    <definedName name="_xlnm.Print_Area" localSheetId="4">贷记单!$A$1:$E$18</definedName>
    <definedName name="_xlnm.Print_Area" localSheetId="0">德国!$A$1:$E$20</definedName>
    <definedName name="_xlnm.Print_Area" localSheetId="1">法国!$A$1:$E$20</definedName>
    <definedName name="_xlnm.Print_Area" localSheetId="2">意大利!$A$1:$E$20</definedName>
    <definedName name="_xlnm.Print_Area" localSheetId="3">西班牙!$A$1:$E$20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<sst xmlns="http://schemas.openxmlformats.org/spreadsheetml/2006/main" count="151" uniqueCount="62">
  <si>
    <t>KYNOLIMMEREN TRADING LTD</t>
  </si>
  <si>
    <t>Synergasias,14,BLOCK B, Flat/Office 01,Nicosia,Cyprus,1025,CY</t>
  </si>
  <si>
    <t>E-mail: KYNOLIMMERENTRADINGLTD@outlook.com</t>
  </si>
  <si>
    <t>COMMERCIAL INVOICE</t>
  </si>
  <si>
    <t>Seller VAT</t>
  </si>
  <si>
    <t>CY60198602A</t>
  </si>
  <si>
    <t>Customer information</t>
  </si>
  <si>
    <t>Invoice date:</t>
  </si>
  <si>
    <t>31,December,2025</t>
  </si>
  <si>
    <t>Wattstraße 21
Berlin
13355
Germany</t>
  </si>
  <si>
    <t>Order number:</t>
  </si>
  <si>
    <t xml:space="preserve"># 305-0601624-5858716 </t>
  </si>
  <si>
    <t>Invoice</t>
  </si>
  <si>
    <r>
      <rPr>
        <b/>
        <sz val="11"/>
        <color theme="1"/>
        <rFont val="Calibri"/>
        <charset val="134"/>
      </rPr>
      <t>DE-</t>
    </r>
    <r>
      <rPr>
        <sz val="11"/>
        <color theme="1"/>
        <rFont val="Calibri"/>
        <charset val="134"/>
      </rPr>
      <t xml:space="preserve">305-0601624-5858716 </t>
    </r>
  </si>
  <si>
    <t>Delivery date</t>
  </si>
  <si>
    <t>Marks&amp;No.</t>
  </si>
  <si>
    <t>Description of goods</t>
  </si>
  <si>
    <t>Quantity</t>
  </si>
  <si>
    <t>Unit price(EUR)</t>
  </si>
  <si>
    <t>Total Amount(EUR)</t>
  </si>
  <si>
    <t>N/M</t>
  </si>
  <si>
    <t>Trisruvian Aktenvernichter Automatischer Einzug Professionell: P5 Mikroschnitt</t>
  </si>
  <si>
    <t>Total</t>
  </si>
  <si>
    <t>TOTAL AMOUNT: SAY EURO THREE HUNDRED AND SIXTEEN AND POINT TWENTY ONLY .</t>
  </si>
  <si>
    <t>Net</t>
  </si>
  <si>
    <t>VAT 19%</t>
  </si>
  <si>
    <t>Rue Grande 49
Wierde
5100
Belgium</t>
  </si>
  <si>
    <t xml:space="preserve"># 403-5211723-0935538 </t>
  </si>
  <si>
    <r>
      <rPr>
        <b/>
        <sz val="11"/>
        <color theme="1"/>
        <rFont val="Calibri"/>
        <charset val="134"/>
      </rPr>
      <t>FR-</t>
    </r>
    <r>
      <rPr>
        <sz val="11"/>
        <color theme="1"/>
        <rFont val="Calibri"/>
        <charset val="134"/>
      </rPr>
      <t xml:space="preserve">403-5211723-0935538 </t>
    </r>
  </si>
  <si>
    <t>Katenpo Déshumidificateur Professionnel Commercial Puissant: 90L/Jour Anti-Moisissure</t>
  </si>
  <si>
    <t>TOTAL AMOUNT: SAY EURO FOUR HUNDRED AND THIRTY FIVE AND POINT TEN ONLY.</t>
  </si>
  <si>
    <t>VAT 20%</t>
  </si>
  <si>
    <t>VIA PASUBIO 349
VICENZA
VI
36100
Italy</t>
  </si>
  <si>
    <t xml:space="preserve"># 406-7358623-4507560 </t>
  </si>
  <si>
    <r>
      <rPr>
        <b/>
        <sz val="11"/>
        <color theme="1"/>
        <rFont val="Calibri"/>
        <charset val="134"/>
      </rPr>
      <t>IT-</t>
    </r>
    <r>
      <rPr>
        <sz val="11"/>
        <color theme="1"/>
        <rFont val="Calibri"/>
        <charset val="134"/>
      </rPr>
      <t xml:space="preserve">406-7358623-4507560 </t>
    </r>
  </si>
  <si>
    <t xml:space="preserve">Katenpo Deumidificatore Industriale Professionale Intelligente: 90L/Giorno Scarico Continuo Antimuffa </t>
  </si>
  <si>
    <t>TOTAL AMOUNT: SAY EURO FOUR HUNDRED AND FIFTY EIGHT ONLY.</t>
  </si>
  <si>
    <t>VAT 22%</t>
  </si>
  <si>
    <t>Calle General Prim 8
casa
RIPOLLET
BARCELONA
08291
Spain</t>
  </si>
  <si>
    <t xml:space="preserve"># 402-8276743-9355500 </t>
  </si>
  <si>
    <r>
      <rPr>
        <b/>
        <sz val="11"/>
        <color theme="1"/>
        <rFont val="Calibri"/>
        <charset val="134"/>
      </rPr>
      <t>ES-</t>
    </r>
    <r>
      <rPr>
        <sz val="11"/>
        <color theme="1"/>
        <rFont val="Calibri"/>
        <charset val="134"/>
      </rPr>
      <t xml:space="preserve">402-8276743-9355500 </t>
    </r>
  </si>
  <si>
    <t>Trisruvian Trituradora de Papel Automática Profesional: Microcorte P-4 150 Hojas 40 Mins</t>
  </si>
  <si>
    <t>TOTAL AMOUNT: SAY EURO ONE HUNDRED AND NINETY EIGHT AND POINT FIFTY FIVE ONLY.</t>
  </si>
  <si>
    <t>VAT 21%</t>
  </si>
  <si>
    <t>MIRAJ COMMERCE S.R.L.</t>
  </si>
  <si>
    <t>Str. Şatrei, Nr. 12, Comuna Albeşti, Sat Măscăteni, Județ Botoşani, 717009, Romania</t>
  </si>
  <si>
    <t>E-mail: MIRAJCOMMERCESRL@outlook.com</t>
  </si>
  <si>
    <t>CREDIT NOTE</t>
  </si>
  <si>
    <t>To</t>
  </si>
  <si>
    <t>19,December,2025</t>
  </si>
  <si>
    <t>CIF: 2868409J
C/ Fco. de Quevedo, 3. Cubas de la Sagra 28978- Madrid
Spain</t>
  </si>
  <si>
    <t>order number:</t>
  </si>
  <si>
    <t xml:space="preserve"># 403-3222634-8687539 </t>
  </si>
  <si>
    <t>0005 credit note</t>
  </si>
  <si>
    <t>11,November,2025</t>
  </si>
  <si>
    <t xml:space="preserve"> Trisruvian Destructora Papel Automática Profesional: 400 Hojas Microcorte P-5 Non Stop</t>
  </si>
  <si>
    <t>TOTAL AMOUNT: SAY EURO MINUS THREE HUNDRED AND SEVENTY ONE ONLY.</t>
  </si>
  <si>
    <t>VAT Reverse Charge. Customer to account for VAT.</t>
  </si>
  <si>
    <t>德国</t>
  </si>
  <si>
    <t>法国</t>
  </si>
  <si>
    <t>意大利</t>
  </si>
  <si>
    <t>西班牙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</si>
</sst>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dd\-mmm\-yy"/>
    <numFmt numFmtId="178" formatCode="[$-809]dd\ mmmm\ yyyy;@"/>
  </numFmts>
  <fonts count="33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1"/>
      <color theme="1"/>
      <name val="Calibri"/>
      <charset val="134"/>
    </font>
    <font>
      <sz val="10"/>
      <color theme="1"/>
      <name val="Times New Roman"/>
      <charset val="134"/>
    </font>
    <font>
      <sz val="28"/>
      <color theme="1"/>
      <name val="Arial Black"/>
      <charset val="134"/>
    </font>
    <font>
      <sz val="24"/>
      <color theme="1"/>
      <name val="Arial Black"/>
      <charset val="134"/>
    </font>
    <font>
      <sz val="18"/>
      <color theme="1"/>
      <name val="Arial Black"/>
      <charset val="134"/>
    </font>
    <font>
      <b/>
      <sz val="12"/>
      <color theme="1"/>
      <name val="Times New Roman"/>
      <charset val="134"/>
    </font>
    <font>
      <b/>
      <sz val="11"/>
      <color theme="1"/>
      <name val="Calibri"/>
      <charset val="134"/>
    </font>
    <font>
      <b/>
      <sz val="11"/>
      <color rgb="FF0F1111"/>
      <name val="Calibri"/>
      <charset val="134"/>
    </font>
    <font>
      <b/>
      <sz val="12"/>
      <color theme="1"/>
      <name val="Calibri"/>
      <charset val="134"/>
    </font>
    <font>
      <sz val="12"/>
      <name val="Calibri"/>
      <charset val="134"/>
    </font>
    <font>
      <sz val="12"/>
      <color theme="1"/>
      <name val="宋体"/>
      <charset val="134"/>
      <scheme val="minor"/>
    </font>
    <font>
      <sz val="12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1" fillId="0" borderId="1" xfId="0" applyFont="1" applyBorder="1">
      <alignment vertical="center"/>
    </xf>
    <xf numFmtId="176" fontId="2" fillId="0" borderId="0" xfId="0" applyNumberFormat="1" applyFont="1">
      <alignment vertical="center"/>
    </xf>
    <xf numFmtId="0" fontId="3" fillId="0" borderId="1" xfId="0" applyFont="1" applyBorder="1">
      <alignment vertical="center"/>
    </xf>
    <xf numFmtId="0" fontId="0" fillId="0" borderId="0" xfId="0" applyBorder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justify" vertical="center"/>
    </xf>
    <xf numFmtId="0" fontId="8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7" fillId="0" borderId="0" xfId="0" applyFont="1" applyBorder="1">
      <alignment vertical="center"/>
    </xf>
    <xf numFmtId="0" fontId="2" fillId="0" borderId="5" xfId="0" applyFont="1" applyFill="1" applyBorder="1" applyAlignment="1">
      <alignment vertical="center"/>
    </xf>
    <xf numFmtId="0" fontId="7" fillId="0" borderId="1" xfId="0" applyFont="1" applyBorder="1">
      <alignment vertical="center"/>
    </xf>
    <xf numFmtId="0" fontId="2" fillId="0" borderId="0" xfId="0" applyFont="1" applyFill="1" applyBorder="1" applyAlignment="1">
      <alignment vertical="top" wrapText="1"/>
    </xf>
    <xf numFmtId="0" fontId="9" fillId="0" borderId="5" xfId="0" applyFont="1" applyBorder="1">
      <alignment vertical="center"/>
    </xf>
    <xf numFmtId="0" fontId="2" fillId="0" borderId="0" xfId="0" applyFont="1" applyFill="1" applyBorder="1">
      <alignment vertical="center"/>
    </xf>
    <xf numFmtId="0" fontId="0" fillId="0" borderId="5" xfId="0" applyBorder="1">
      <alignment vertical="center"/>
    </xf>
    <xf numFmtId="0" fontId="2" fillId="0" borderId="6" xfId="0" applyFont="1" applyFill="1" applyBorder="1" applyAlignment="1">
      <alignment vertical="center"/>
    </xf>
    <xf numFmtId="0" fontId="0" fillId="0" borderId="0" xfId="0" applyFont="1">
      <alignment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177" fontId="0" fillId="0" borderId="0" xfId="0" applyNumberFormat="1">
      <alignment vertical="center"/>
    </xf>
    <xf numFmtId="0" fontId="7" fillId="0" borderId="7" xfId="0" applyFont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176" fontId="2" fillId="0" borderId="8" xfId="0" applyNumberFormat="1" applyFont="1" applyFill="1" applyBorder="1" applyAlignment="1">
      <alignment horizontal="center" vertical="center" wrapText="1"/>
    </xf>
    <xf numFmtId="176" fontId="2" fillId="0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>
      <alignment vertical="center"/>
    </xf>
    <xf numFmtId="0" fontId="7" fillId="0" borderId="11" xfId="0" applyFont="1" applyBorder="1">
      <alignment vertical="center"/>
    </xf>
    <xf numFmtId="0" fontId="0" fillId="0" borderId="8" xfId="0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5" xfId="0" applyFont="1" applyBorder="1">
      <alignment vertical="center"/>
    </xf>
    <xf numFmtId="0" fontId="0" fillId="0" borderId="1" xfId="0" applyBorder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Fill="1" applyAlignment="1">
      <alignment horizontal="right" vertical="center"/>
    </xf>
    <xf numFmtId="0" fontId="7" fillId="0" borderId="5" xfId="0" applyFont="1" applyFill="1" applyBorder="1" applyAlignment="1">
      <alignment horizontal="right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11" fillId="0" borderId="0" xfId="0" applyFont="1">
      <alignment vertical="center"/>
    </xf>
    <xf numFmtId="0" fontId="0" fillId="0" borderId="1" xfId="0" applyFont="1" applyBorder="1">
      <alignment vertical="center"/>
    </xf>
    <xf numFmtId="0" fontId="0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12" fillId="0" borderId="1" xfId="0" applyFont="1" applyBorder="1">
      <alignment vertical="center"/>
    </xf>
    <xf numFmtId="0" fontId="1" fillId="0" borderId="1" xfId="0" applyFont="1" applyBorder="1" applyAlignment="1">
      <alignment horizontal="justify" vertical="center"/>
    </xf>
    <xf numFmtId="0" fontId="1" fillId="0" borderId="0" xfId="0" applyFont="1" applyBorder="1">
      <alignment vertical="center"/>
    </xf>
    <xf numFmtId="0" fontId="13" fillId="0" borderId="0" xfId="0" applyFont="1" applyFill="1" applyBorder="1" applyAlignment="1">
      <alignment vertical="center"/>
    </xf>
    <xf numFmtId="0" fontId="8" fillId="0" borderId="0" xfId="0" applyFont="1" applyAlignment="1">
      <alignment horizontal="left" vertical="center"/>
    </xf>
    <xf numFmtId="178" fontId="2" fillId="0" borderId="6" xfId="0" applyNumberFormat="1" applyFont="1" applyFill="1" applyBorder="1" applyAlignment="1">
      <alignment horizontal="left"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2" fillId="0" borderId="8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5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17" xfId="0" applyFill="1" applyBorder="1" applyAlignment="1">
      <alignment vertical="center"/>
    </xf>
    <xf numFmtId="178" fontId="2" fillId="0" borderId="5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zoomScale="85" zoomScaleNormal="85" workbookViewId="0">
      <selection activeCell="B8" sqref="B8:C8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6"/>
      <c r="B5" s="57"/>
      <c r="E5" s="28"/>
    </row>
    <row r="6" ht="15.75" spans="1:8">
      <c r="A6" s="1" t="s">
        <v>4</v>
      </c>
      <c r="B6" s="58" t="s">
        <v>5</v>
      </c>
      <c r="E6" s="28"/>
    </row>
    <row r="7" ht="15" spans="1:8">
      <c r="A7" s="59"/>
      <c r="B7" s="58"/>
      <c r="E7" s="28"/>
    </row>
    <row r="8" ht="15.75" spans="1:8">
      <c r="A8" s="60" t="s">
        <v>6</v>
      </c>
      <c r="B8" s="20"/>
      <c r="C8" s="21"/>
      <c r="D8" s="61" t="s">
        <v>7</v>
      </c>
      <c r="E8" s="23" t="s">
        <v>8</v>
      </c>
    </row>
    <row r="9" ht="105" customHeight="1" spans="1:8">
      <c r="A9" s="59"/>
      <c r="B9" s="25" t="s">
        <v>9</v>
      </c>
      <c r="C9" s="4"/>
      <c r="D9" s="62" t="s">
        <v>10</v>
      </c>
      <c r="E9" s="26" t="s">
        <v>11</v>
      </c>
      <c r="H9" s="34"/>
    </row>
    <row r="10" s="4" customFormat="1" ht="15" customHeight="1" spans="1:8">
      <c r="A10" s="1" t="s">
        <v>12</v>
      </c>
      <c r="B10" s="63" t="s">
        <v>13</v>
      </c>
      <c r="E10" s="28"/>
    </row>
    <row r="11" ht="15" customHeight="1" spans="1:8">
      <c r="A11" s="1" t="s">
        <v>14</v>
      </c>
      <c r="B11" s="64">
        <v>46021</v>
      </c>
      <c r="D11" s="30"/>
      <c r="E11" s="28"/>
    </row>
    <row r="12" s="55" customFormat="1" ht="15.75" spans="1:8">
      <c r="A12" s="65" t="s">
        <v>15</v>
      </c>
      <c r="B12" s="66" t="s">
        <v>16</v>
      </c>
      <c r="C12" s="67" t="s">
        <v>17</v>
      </c>
      <c r="D12" s="67" t="s">
        <v>18</v>
      </c>
      <c r="E12" s="68" t="s">
        <v>19</v>
      </c>
    </row>
    <row r="13" ht="65" customHeight="1" spans="1:8">
      <c r="A13" s="69" t="s">
        <v>20</v>
      </c>
      <c r="B13" s="36" t="s">
        <v>21</v>
      </c>
      <c r="C13" s="37">
        <v>1</v>
      </c>
      <c r="D13" s="38">
        <v>316.2</v>
      </c>
      <c r="E13" s="39">
        <f>D13</f>
        <v>316.2</v>
      </c>
    </row>
    <row r="14" ht="21" customHeight="1" spans="1:8">
      <c r="A14" s="70" t="s">
        <v>22</v>
      </c>
      <c r="B14" s="71"/>
      <c r="C14" s="37"/>
      <c r="D14" s="72"/>
      <c r="E14" s="39">
        <f>E13</f>
        <v>316.2</v>
      </c>
    </row>
    <row r="15" ht="15.75" spans="1:8">
      <c r="A15" s="73" t="s">
        <v>23</v>
      </c>
      <c r="B15" s="74"/>
      <c r="C15" s="74"/>
      <c r="D15" s="74"/>
      <c r="E15" s="75"/>
    </row>
    <row r="16" ht="15.75" spans="1:8">
      <c r="A16" s="1" t="s">
        <v>24</v>
      </c>
      <c r="B16" s="2">
        <f>E14/(1+0.19)</f>
        <v>265.714285714286</v>
      </c>
      <c r="E16" s="28"/>
    </row>
    <row r="17" ht="15.75" spans="1:7">
      <c r="A17" s="1" t="s">
        <v>25</v>
      </c>
      <c r="B17" s="2">
        <f>B16*0.19</f>
        <v>50.4857142857143</v>
      </c>
      <c r="E17" s="28"/>
    </row>
    <row r="18" ht="15.75" spans="1:7">
      <c r="A18" s="1" t="s">
        <v>22</v>
      </c>
      <c r="B18" s="2">
        <f>B16+B17</f>
        <v>316.2</v>
      </c>
      <c r="E18" s="28"/>
    </row>
    <row r="19" ht="15.75" spans="1:7">
      <c r="A19" s="46"/>
      <c r="D19" s="9" t="s">
        <v>0</v>
      </c>
      <c r="E19" s="75"/>
      <c r="F19" s="76"/>
      <c r="G19" s="77"/>
    </row>
    <row r="20" ht="14.25" spans="1:7">
      <c r="A20" s="51"/>
      <c r="B20" s="52"/>
      <c r="C20" s="52"/>
      <c r="D20" s="52"/>
      <c r="E20" s="53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B8" sqref="B8:C8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6"/>
      <c r="B5" s="57"/>
      <c r="E5" s="28"/>
    </row>
    <row r="6" ht="15.75" spans="1:8">
      <c r="A6" s="1" t="s">
        <v>4</v>
      </c>
      <c r="B6" s="58" t="s">
        <v>5</v>
      </c>
      <c r="E6" s="28"/>
    </row>
    <row r="7" ht="15" spans="1:8">
      <c r="A7" s="59"/>
      <c r="B7" s="58"/>
      <c r="E7" s="28"/>
    </row>
    <row r="8" ht="15.75" spans="1:8">
      <c r="A8" s="60" t="s">
        <v>6</v>
      </c>
      <c r="B8" s="79"/>
      <c r="C8" s="21"/>
      <c r="D8" s="61" t="s">
        <v>7</v>
      </c>
      <c r="E8" s="78">
        <v>46026</v>
      </c>
    </row>
    <row r="9" ht="105" customHeight="1" spans="1:8">
      <c r="A9" s="59"/>
      <c r="B9" s="25" t="s">
        <v>26</v>
      </c>
      <c r="C9" s="4"/>
      <c r="D9" s="62" t="s">
        <v>10</v>
      </c>
      <c r="E9" s="26" t="s">
        <v>27</v>
      </c>
      <c r="H9" s="34"/>
    </row>
    <row r="10" s="4" customFormat="1" ht="15" customHeight="1" spans="1:8">
      <c r="A10" s="1" t="s">
        <v>12</v>
      </c>
      <c r="B10" s="63" t="s">
        <v>28</v>
      </c>
      <c r="E10" s="28"/>
    </row>
    <row r="11" ht="15" customHeight="1" spans="1:8">
      <c r="A11" s="1" t="s">
        <v>14</v>
      </c>
      <c r="B11" s="64">
        <v>46024</v>
      </c>
      <c r="D11" s="30"/>
      <c r="E11" s="28"/>
    </row>
    <row r="12" s="55" customFormat="1" ht="15.75" spans="1:8">
      <c r="A12" s="65" t="s">
        <v>15</v>
      </c>
      <c r="B12" s="66" t="s">
        <v>16</v>
      </c>
      <c r="C12" s="67" t="s">
        <v>17</v>
      </c>
      <c r="D12" s="67" t="s">
        <v>18</v>
      </c>
      <c r="E12" s="68" t="s">
        <v>19</v>
      </c>
    </row>
    <row r="13" ht="65" customHeight="1" spans="1:8">
      <c r="A13" s="69" t="s">
        <v>20</v>
      </c>
      <c r="B13" s="36" t="s">
        <v>29</v>
      </c>
      <c r="C13" s="37">
        <v>1</v>
      </c>
      <c r="D13" s="38">
        <v>435.1</v>
      </c>
      <c r="E13" s="39">
        <f>D13</f>
        <v>435.1</v>
      </c>
    </row>
    <row r="14" ht="21" customHeight="1" spans="1:8">
      <c r="A14" s="70" t="s">
        <v>22</v>
      </c>
      <c r="B14" s="71"/>
      <c r="C14" s="37"/>
      <c r="D14" s="72"/>
      <c r="E14" s="39">
        <f>E13</f>
        <v>435.1</v>
      </c>
    </row>
    <row r="15" ht="15.75" spans="1:8">
      <c r="A15" s="73" t="s">
        <v>30</v>
      </c>
      <c r="B15" s="74"/>
      <c r="C15" s="74"/>
      <c r="D15" s="74"/>
      <c r="E15" s="75"/>
    </row>
    <row r="16" ht="15.75" spans="1:8">
      <c r="A16" s="1" t="s">
        <v>24</v>
      </c>
      <c r="B16" s="2">
        <f>E14/(1+0.2)</f>
        <v>362.583333333333</v>
      </c>
      <c r="E16" s="28"/>
    </row>
    <row r="17" ht="15.75" spans="1:7">
      <c r="A17" s="1" t="s">
        <v>31</v>
      </c>
      <c r="B17" s="2">
        <f>B16*0.2</f>
        <v>72.5166666666667</v>
      </c>
      <c r="E17" s="28"/>
    </row>
    <row r="18" ht="15.75" spans="1:7">
      <c r="A18" s="1" t="s">
        <v>22</v>
      </c>
      <c r="B18" s="2">
        <f>B16+B17</f>
        <v>435.1</v>
      </c>
      <c r="E18" s="28"/>
    </row>
    <row r="19" ht="15.75" spans="1:7">
      <c r="A19" s="46"/>
      <c r="D19" s="9" t="s">
        <v>0</v>
      </c>
      <c r="E19" s="75"/>
      <c r="F19" s="76"/>
      <c r="G19" s="77"/>
    </row>
    <row r="20" ht="14.25" spans="1:7">
      <c r="A20" s="51"/>
      <c r="B20" s="52"/>
      <c r="C20" s="52"/>
      <c r="D20" s="52"/>
      <c r="E20" s="53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B8" sqref="B8:C8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6"/>
      <c r="B5" s="57"/>
      <c r="E5" s="28"/>
    </row>
    <row r="6" ht="15.75" spans="1:8">
      <c r="A6" s="1" t="s">
        <v>4</v>
      </c>
      <c r="B6" s="58" t="s">
        <v>5</v>
      </c>
      <c r="E6" s="28"/>
    </row>
    <row r="7" ht="15" spans="1:8">
      <c r="A7" s="59"/>
      <c r="B7" s="58"/>
      <c r="E7" s="28"/>
    </row>
    <row r="8" ht="15.75" spans="1:8">
      <c r="A8" s="60" t="s">
        <v>6</v>
      </c>
      <c r="B8" s="20"/>
      <c r="C8" s="21"/>
      <c r="D8" s="61" t="s">
        <v>7</v>
      </c>
      <c r="E8" s="78">
        <v>46026</v>
      </c>
    </row>
    <row r="9" ht="105" customHeight="1" spans="1:8">
      <c r="A9" s="59"/>
      <c r="B9" s="25" t="s">
        <v>32</v>
      </c>
      <c r="C9" s="4"/>
      <c r="D9" s="62" t="s">
        <v>10</v>
      </c>
      <c r="E9" s="26" t="s">
        <v>33</v>
      </c>
      <c r="H9" s="34"/>
    </row>
    <row r="10" s="4" customFormat="1" ht="15" customHeight="1" spans="1:8">
      <c r="A10" s="1" t="s">
        <v>12</v>
      </c>
      <c r="B10" s="63" t="s">
        <v>34</v>
      </c>
      <c r="E10" s="28"/>
    </row>
    <row r="11" ht="15" customHeight="1" spans="1:8">
      <c r="A11" s="1" t="s">
        <v>14</v>
      </c>
      <c r="B11" s="64">
        <v>46020</v>
      </c>
      <c r="D11" s="30"/>
      <c r="E11" s="28"/>
    </row>
    <row r="12" s="55" customFormat="1" ht="15.75" spans="1:8">
      <c r="A12" s="65" t="s">
        <v>15</v>
      </c>
      <c r="B12" s="66" t="s">
        <v>16</v>
      </c>
      <c r="C12" s="67" t="s">
        <v>17</v>
      </c>
      <c r="D12" s="67" t="s">
        <v>18</v>
      </c>
      <c r="E12" s="68" t="s">
        <v>19</v>
      </c>
    </row>
    <row r="13" ht="65" customHeight="1" spans="1:8">
      <c r="A13" s="69" t="s">
        <v>20</v>
      </c>
      <c r="B13" s="36" t="s">
        <v>35</v>
      </c>
      <c r="C13" s="37">
        <v>1</v>
      </c>
      <c r="D13" s="38">
        <v>458</v>
      </c>
      <c r="E13" s="39">
        <f>D13</f>
        <v>458</v>
      </c>
    </row>
    <row r="14" ht="21" customHeight="1" spans="1:8">
      <c r="A14" s="70" t="s">
        <v>22</v>
      </c>
      <c r="B14" s="71"/>
      <c r="C14" s="37"/>
      <c r="D14" s="72"/>
      <c r="E14" s="39">
        <f>E13</f>
        <v>458</v>
      </c>
    </row>
    <row r="15" ht="15.75" spans="1:8">
      <c r="A15" s="73" t="s">
        <v>36</v>
      </c>
      <c r="B15" s="74"/>
      <c r="C15" s="74"/>
      <c r="D15" s="74"/>
      <c r="E15" s="75"/>
    </row>
    <row r="16" ht="15.75" spans="1:8">
      <c r="A16" s="1" t="s">
        <v>24</v>
      </c>
      <c r="B16" s="2">
        <f>E13/(1+0.22)</f>
        <v>375.409836065574</v>
      </c>
      <c r="E16" s="28"/>
    </row>
    <row r="17" ht="15.75" spans="1:7">
      <c r="A17" s="1" t="s">
        <v>37</v>
      </c>
      <c r="B17" s="2">
        <f>B16*0.22</f>
        <v>82.5901639344262</v>
      </c>
      <c r="E17" s="28"/>
    </row>
    <row r="18" ht="15.75" spans="1:7">
      <c r="A18" s="1" t="s">
        <v>22</v>
      </c>
      <c r="B18" s="2">
        <f>B16+B17</f>
        <v>458</v>
      </c>
      <c r="E18" s="28"/>
    </row>
    <row r="19" ht="15.75" spans="1:7">
      <c r="A19" s="46"/>
      <c r="D19" s="9" t="s">
        <v>0</v>
      </c>
      <c r="E19" s="75"/>
      <c r="F19" s="76"/>
      <c r="G19" s="77"/>
    </row>
    <row r="20" ht="14.25" spans="1:7">
      <c r="A20" s="51"/>
      <c r="B20" s="52"/>
      <c r="C20" s="52"/>
      <c r="D20" s="52"/>
      <c r="E20" s="53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B8" sqref="B8:C8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6"/>
      <c r="B5" s="57"/>
      <c r="E5" s="28"/>
    </row>
    <row r="6" ht="15.75" spans="1:8">
      <c r="A6" s="1" t="s">
        <v>4</v>
      </c>
      <c r="B6" s="58" t="s">
        <v>5</v>
      </c>
      <c r="E6" s="28"/>
    </row>
    <row r="7" ht="15" spans="1:8">
      <c r="A7" s="59"/>
      <c r="B7" s="58"/>
      <c r="E7" s="28"/>
    </row>
    <row r="8" ht="15.75" spans="1:8">
      <c r="A8" s="60" t="s">
        <v>6</v>
      </c>
      <c r="B8" s="20"/>
      <c r="C8" s="21"/>
      <c r="D8" s="61" t="s">
        <v>7</v>
      </c>
      <c r="E8" s="23" t="s">
        <v>8</v>
      </c>
    </row>
    <row r="9" ht="105" customHeight="1" spans="1:8">
      <c r="A9" s="59"/>
      <c r="B9" s="25" t="s">
        <v>38</v>
      </c>
      <c r="C9" s="4"/>
      <c r="D9" s="62" t="s">
        <v>10</v>
      </c>
      <c r="E9" s="26" t="s">
        <v>39</v>
      </c>
      <c r="H9" s="34"/>
    </row>
    <row r="10" s="4" customFormat="1" ht="15" customHeight="1" spans="1:8">
      <c r="A10" s="1" t="s">
        <v>12</v>
      </c>
      <c r="B10" s="63" t="s">
        <v>40</v>
      </c>
      <c r="E10" s="28"/>
    </row>
    <row r="11" ht="15" customHeight="1" spans="1:8">
      <c r="A11" s="1" t="s">
        <v>14</v>
      </c>
      <c r="B11" s="64">
        <v>46021</v>
      </c>
      <c r="D11" s="30"/>
      <c r="E11" s="28"/>
    </row>
    <row r="12" s="55" customFormat="1" ht="15.75" spans="1:8">
      <c r="A12" s="65" t="s">
        <v>15</v>
      </c>
      <c r="B12" s="66" t="s">
        <v>16</v>
      </c>
      <c r="C12" s="67" t="s">
        <v>17</v>
      </c>
      <c r="D12" s="67" t="s">
        <v>18</v>
      </c>
      <c r="E12" s="68" t="s">
        <v>19</v>
      </c>
    </row>
    <row r="13" ht="65" customHeight="1" spans="1:8">
      <c r="A13" s="69" t="s">
        <v>20</v>
      </c>
      <c r="B13" s="36" t="s">
        <v>41</v>
      </c>
      <c r="C13" s="37">
        <v>1</v>
      </c>
      <c r="D13" s="38">
        <v>198.55</v>
      </c>
      <c r="E13" s="39">
        <f>D13</f>
        <v>198.55</v>
      </c>
    </row>
    <row r="14" ht="21" customHeight="1" spans="1:8">
      <c r="A14" s="70" t="s">
        <v>22</v>
      </c>
      <c r="B14" s="71"/>
      <c r="C14" s="37"/>
      <c r="D14" s="72"/>
      <c r="E14" s="39">
        <f>E13</f>
        <v>198.55</v>
      </c>
    </row>
    <row r="15" ht="15.75" spans="1:8">
      <c r="A15" s="73" t="s">
        <v>42</v>
      </c>
      <c r="B15" s="74"/>
      <c r="C15" s="74"/>
      <c r="D15" s="74"/>
      <c r="E15" s="75"/>
    </row>
    <row r="16" ht="15.75" spans="1:8">
      <c r="A16" s="1" t="s">
        <v>24</v>
      </c>
      <c r="B16" s="2">
        <f>E13/(1+0.21)</f>
        <v>164.090909090909</v>
      </c>
      <c r="E16" s="28"/>
    </row>
    <row r="17" ht="15.75" spans="1:7">
      <c r="A17" s="1" t="s">
        <v>43</v>
      </c>
      <c r="B17" s="2">
        <f>B16*0.21</f>
        <v>34.4590909090909</v>
      </c>
      <c r="E17" s="28"/>
    </row>
    <row r="18" ht="15.75" spans="1:7">
      <c r="A18" s="1" t="s">
        <v>22</v>
      </c>
      <c r="B18" s="2">
        <f>B16+B17</f>
        <v>198.55</v>
      </c>
      <c r="E18" s="28"/>
    </row>
    <row r="19" ht="19" customHeight="1" spans="1:7">
      <c r="A19" s="46"/>
      <c r="D19" s="9" t="s">
        <v>0</v>
      </c>
      <c r="E19" s="75"/>
      <c r="F19" s="76"/>
      <c r="G19" s="77"/>
    </row>
    <row r="20" ht="14.25" spans="1:7">
      <c r="A20" s="51"/>
      <c r="B20" s="52"/>
      <c r="C20" s="52"/>
      <c r="D20" s="52"/>
      <c r="E20" s="53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zoomScale="85" zoomScaleNormal="85" workbookViewId="0">
      <selection activeCell="B7" sqref="B7"/>
    </sheetView>
  </sheetViews>
  <sheetFormatPr defaultColWidth="8.66666666666667" defaultRowHeight="13.5" outlineLevelCol="7"/>
  <cols>
    <col min="1" max="1" width="23.775" customWidth="1"/>
    <col min="2" max="2" width="30.4416666666667" customWidth="1"/>
    <col min="3" max="4" width="23.775" customWidth="1"/>
    <col min="5" max="5" width="25.5" customWidth="1"/>
    <col min="8" max="8" width="10.3833333333333"/>
  </cols>
  <sheetData>
    <row r="1" ht="37" customHeight="1" spans="1:8">
      <c r="A1" s="5" t="s">
        <v>44</v>
      </c>
      <c r="B1" s="6"/>
      <c r="C1" s="6"/>
      <c r="D1" s="6"/>
      <c r="E1" s="7"/>
    </row>
    <row r="2" ht="17" customHeight="1" spans="1:8">
      <c r="A2" s="8" t="s">
        <v>45</v>
      </c>
      <c r="B2" s="9"/>
      <c r="C2" s="9"/>
      <c r="D2" s="9"/>
      <c r="E2" s="10"/>
    </row>
    <row r="3" ht="17" customHeight="1" spans="1:8">
      <c r="A3" s="8" t="s">
        <v>46</v>
      </c>
      <c r="B3" s="11"/>
      <c r="C3" s="11"/>
      <c r="D3" s="11"/>
      <c r="E3" s="12"/>
    </row>
    <row r="4" ht="25" customHeight="1" spans="1:8">
      <c r="A4" s="13" t="s">
        <v>47</v>
      </c>
      <c r="B4" s="14"/>
      <c r="C4" s="14"/>
      <c r="D4" s="14"/>
      <c r="E4" s="15"/>
    </row>
    <row r="5" ht="16" customHeight="1" spans="1:8">
      <c r="A5" s="16"/>
      <c r="B5" s="17"/>
      <c r="C5" s="17"/>
      <c r="D5" s="17"/>
      <c r="E5" s="18"/>
    </row>
    <row r="6" ht="15" customHeight="1" spans="1:8">
      <c r="A6" s="19" t="s">
        <v>48</v>
      </c>
      <c r="B6" s="20"/>
      <c r="C6" s="21"/>
      <c r="D6" s="22" t="s">
        <v>7</v>
      </c>
      <c r="E6" s="23" t="s">
        <v>49</v>
      </c>
    </row>
    <row r="7" ht="105" customHeight="1" spans="1:8">
      <c r="A7" s="24"/>
      <c r="B7" s="25" t="s">
        <v>50</v>
      </c>
      <c r="C7" s="4"/>
      <c r="D7" s="22" t="s">
        <v>51</v>
      </c>
      <c r="E7" s="26" t="s">
        <v>52</v>
      </c>
    </row>
    <row r="8" ht="15.75" spans="1:8">
      <c r="A8" s="24" t="s">
        <v>12</v>
      </c>
      <c r="B8" s="27" t="s">
        <v>53</v>
      </c>
      <c r="C8" s="4"/>
      <c r="D8" s="4"/>
      <c r="E8" s="28"/>
    </row>
    <row r="9" ht="15.75" spans="1:8">
      <c r="A9" s="24" t="s">
        <v>14</v>
      </c>
      <c r="B9" s="29" t="s">
        <v>54</v>
      </c>
      <c r="D9" s="30"/>
      <c r="E9" s="28"/>
    </row>
    <row r="10" ht="16" customHeight="1" spans="1:8">
      <c r="A10" s="31" t="s">
        <v>15</v>
      </c>
      <c r="B10" s="32" t="s">
        <v>16</v>
      </c>
      <c r="C10" s="32" t="s">
        <v>17</v>
      </c>
      <c r="D10" s="32" t="s">
        <v>18</v>
      </c>
      <c r="E10" s="33" t="s">
        <v>19</v>
      </c>
      <c r="H10" s="34"/>
    </row>
    <row r="11" s="4" customFormat="1" ht="65" customHeight="1" spans="1:8">
      <c r="A11" s="35" t="s">
        <v>20</v>
      </c>
      <c r="B11" s="36" t="s">
        <v>55</v>
      </c>
      <c r="C11" s="37">
        <v>1</v>
      </c>
      <c r="D11" s="38">
        <v>-371</v>
      </c>
      <c r="E11" s="39">
        <f>D11</f>
        <v>-371</v>
      </c>
    </row>
    <row r="12" ht="21" customHeight="1" spans="1:8">
      <c r="A12" s="40" t="s">
        <v>22</v>
      </c>
      <c r="B12" s="41"/>
      <c r="C12" s="42"/>
      <c r="D12" s="42"/>
      <c r="E12" s="43">
        <f>E11</f>
        <v>-371</v>
      </c>
    </row>
    <row r="13" ht="15.75" spans="1:8">
      <c r="A13" s="24" t="s">
        <v>56</v>
      </c>
      <c r="B13" s="44"/>
      <c r="C13" s="44"/>
      <c r="D13" s="44"/>
      <c r="E13" s="45"/>
    </row>
    <row r="14" ht="12" customHeight="1" spans="1:8">
      <c r="A14" s="46"/>
      <c r="E14" s="28"/>
    </row>
    <row r="15" ht="14" customHeight="1" spans="1:8">
      <c r="A15" s="47" t="s">
        <v>57</v>
      </c>
      <c r="B15" s="48"/>
      <c r="E15" s="28"/>
    </row>
    <row r="16" ht="15.75" spans="1:8">
      <c r="A16" s="46"/>
      <c r="C16" s="49" t="s">
        <v>44</v>
      </c>
      <c r="D16" s="49"/>
      <c r="E16" s="50"/>
    </row>
    <row r="17" spans="1:5">
      <c r="A17" s="46"/>
      <c r="E17" s="28"/>
    </row>
    <row r="18" ht="14.25" spans="1:5">
      <c r="A18" s="51"/>
      <c r="B18" s="52"/>
      <c r="C18" s="52"/>
      <c r="D18" s="52"/>
      <c r="E18" s="53"/>
    </row>
    <row r="19" spans="1:5">
      <c r="A19" s="54"/>
    </row>
    <row r="20" spans="1:5">
      <c r="A20" s="4"/>
      <c r="B20" s="4"/>
      <c r="C20" s="4"/>
      <c r="D20" s="4"/>
      <c r="E20" s="4"/>
    </row>
    <row r="21" spans="1:5">
      <c r="A21" s="4"/>
      <c r="B21" s="4"/>
      <c r="C21" s="4"/>
      <c r="D21" s="4"/>
      <c r="E21" s="4"/>
    </row>
    <row r="22" spans="1:5">
      <c r="A22" s="4"/>
      <c r="B22" s="4"/>
      <c r="C22" s="4"/>
      <c r="D22" s="4"/>
      <c r="E22" s="4"/>
    </row>
  </sheetData>
  <mergeCells count="9">
    <mergeCell ref="A1:E1"/>
    <mergeCell ref="A2:E2"/>
    <mergeCell ref="A3:E3"/>
    <mergeCell ref="A4:E4"/>
    <mergeCell ref="B6:C6"/>
    <mergeCell ref="A12:B12"/>
    <mergeCell ref="A13:E13"/>
    <mergeCell ref="A15:B15"/>
    <mergeCell ref="C16:E16"/>
  </mergeCells>
  <pageMargins left="0.75" right="0.75" top="1" bottom="1" header="0.5" footer="0.5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topLeftCell="A2" workbookViewId="0">
      <selection activeCell="C12" sqref="C12"/>
    </sheetView>
  </sheetViews>
  <sheetFormatPr defaultColWidth="9" defaultRowHeight="13.5" outlineLevelCol="2"/>
  <sheetData>
    <row r="1" spans="1:3">
      <c r="A1" t="s">
        <v>58</v>
      </c>
    </row>
    <row r="2" ht="15.75" spans="1:3">
      <c r="B2" s="1" t="s">
        <v>24</v>
      </c>
      <c r="C2" s="2" t="e">
        <f>#REF!/(1+0.19)</f>
        <v>#REF!</v>
      </c>
    </row>
    <row r="3" ht="15.75" spans="1:3">
      <c r="B3" s="1" t="s">
        <v>25</v>
      </c>
      <c r="C3" s="2" t="e">
        <f>C2*0.19</f>
        <v>#REF!</v>
      </c>
    </row>
    <row r="4" ht="15.75" spans="1:3">
      <c r="B4" s="1" t="s">
        <v>22</v>
      </c>
      <c r="C4" s="2" t="e">
        <f>C2+C3</f>
        <v>#REF!</v>
      </c>
    </row>
    <row r="6" spans="1:3">
      <c r="A6" t="s">
        <v>59</v>
      </c>
    </row>
    <row r="7" ht="15.75" spans="1:3">
      <c r="B7" s="1" t="s">
        <v>24</v>
      </c>
      <c r="C7" s="2" t="e">
        <f>#REF!/(1+0.2)</f>
        <v>#REF!</v>
      </c>
    </row>
    <row r="8" ht="15.75" spans="1:3">
      <c r="B8" s="1" t="s">
        <v>31</v>
      </c>
      <c r="C8" s="2" t="e">
        <f>C7*0.2</f>
        <v>#REF!</v>
      </c>
    </row>
    <row r="9" ht="15.75" spans="1:3">
      <c r="B9" s="1" t="s">
        <v>22</v>
      </c>
      <c r="C9" s="2" t="e">
        <f>C7+C8</f>
        <v>#REF!</v>
      </c>
    </row>
    <row r="11" spans="1:3">
      <c r="A11" t="s">
        <v>60</v>
      </c>
    </row>
    <row r="12" ht="15.75" spans="1:3">
      <c r="B12" s="1" t="s">
        <v>24</v>
      </c>
      <c r="C12" s="2">
        <f>F9/(1+0.22)</f>
        <v>0</v>
      </c>
    </row>
    <row r="13" ht="15.75" spans="1:3">
      <c r="B13" s="1" t="s">
        <v>37</v>
      </c>
      <c r="C13" s="2">
        <f>C12*0.22</f>
        <v>0</v>
      </c>
    </row>
    <row r="14" ht="15.75" spans="1:3">
      <c r="B14" s="1" t="s">
        <v>22</v>
      </c>
      <c r="C14" s="2">
        <f>C12+C13</f>
        <v>0</v>
      </c>
    </row>
    <row r="16" spans="1:3">
      <c r="A16" t="s">
        <v>61</v>
      </c>
    </row>
    <row r="17" ht="15" spans="2:3">
      <c r="B17" s="3" t="s">
        <v>24</v>
      </c>
      <c r="C17" s="2">
        <f>F14/(1+0.21)</f>
        <v>0</v>
      </c>
    </row>
    <row r="18" ht="15" spans="2:3">
      <c r="B18" s="3" t="s">
        <v>43</v>
      </c>
      <c r="C18" s="2">
        <f>C17*0.21</f>
        <v>0</v>
      </c>
    </row>
    <row r="19" ht="15" spans="2:3">
      <c r="B19" s="3" t="s">
        <v>22</v>
      </c>
      <c r="C19" s="2">
        <f>C17+C18</f>
        <v>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德国</vt:lpstr>
      <vt:lpstr>法国</vt:lpstr>
      <vt:lpstr>意大利</vt:lpstr>
      <vt:lpstr>西班牙</vt:lpstr>
      <vt:lpstr>贷记单</vt:lpstr>
      <vt:lpstr>税率计算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bamboosang</dc:creator>
  <cp:lastModifiedBy>moyinm</cp:lastModifiedBy>
  <dcterms:created xsi:type="dcterms:W3CDTF">2023-01-12T03:18:00Z</dcterms:created>
  <dcterms:modified xsi:type="dcterms:W3CDTF">2026-02-03T10:24:04Z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38704DD9522E40BBBF80CCD5D530C6F5_13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