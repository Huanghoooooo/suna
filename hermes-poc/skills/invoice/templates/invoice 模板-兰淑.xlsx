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英国" sheetId="15" r:id="rId1"/>
    <sheet name="德国" sheetId="10" r:id="rId2"/>
    <sheet name="法国" sheetId="12" r:id="rId3"/>
    <sheet name="意大利" sheetId="13" r:id="rId4"/>
    <sheet name="西班牙" sheetId="14" r:id="rId5"/>
    <sheet name="贷记单" sheetId="5" r:id="rId6"/>
    <sheet name="税率计算" sheetId="11" r:id="rId7"/>
  </sheets>
  <definedNames>
    <definedName name="_xlnm.Print_Area" localSheetId="5">贷记单!$A$1:$E$18</definedName>
    <definedName name="_xlnm.Print_Area" localSheetId="1">德国!$A$1:$E$20</definedName>
    <definedName name="_xlnm.Print_Area" localSheetId="2">法国!$A$1:$E$20</definedName>
    <definedName name="_xlnm.Print_Area" localSheetId="3">意大利!$A$1:$E$20</definedName>
    <definedName name="_xlnm.Print_Area" localSheetId="4">西班牙!$A$1:$E$20</definedName>
    <definedName name="_xlnm.Print_Area" localSheetId="0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<sst xmlns="http://schemas.openxmlformats.org/spreadsheetml/2006/main" count="186" uniqueCount="72">
  <si>
    <t>Lanshu Department Store Retail Co., Ltd.</t>
  </si>
  <si>
    <t>Building 5,Shigeng Community, Longzihu Sub-district Office, Zhengdong New District,Zhengzhou City, Henan Province,450000,CN</t>
  </si>
  <si>
    <t>E-mail: lanshu188@outlook.com</t>
  </si>
  <si>
    <t>COMMERCIAL INVOICE</t>
  </si>
  <si>
    <t>Seller VAT</t>
  </si>
  <si>
    <t>GB494642261</t>
  </si>
  <si>
    <t>Customer information</t>
  </si>
  <si>
    <t>Invoice date:</t>
  </si>
  <si>
    <t>23,December,2025</t>
  </si>
  <si>
    <t>STABLE LODGE LONDON RD.
Buckinghamshire, LOUDWATER, HP10 9RF
United Kingdom</t>
  </si>
  <si>
    <t>Order number:</t>
  </si>
  <si>
    <t># 026-7223014-6647503</t>
  </si>
  <si>
    <t>Invoice</t>
  </si>
  <si>
    <r>
      <rPr>
        <b/>
        <sz val="11"/>
        <color theme="1"/>
        <rFont val="Calibri"/>
        <charset val="134"/>
      </rPr>
      <t>UK-</t>
    </r>
    <r>
      <rPr>
        <sz val="11"/>
        <color theme="1"/>
        <rFont val="Calibri"/>
        <charset val="134"/>
      </rPr>
      <t>026-7223014-6647503</t>
    </r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</si>
  <si>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</si>
  <si>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</si>
  <si>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</si>
  <si>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</si>
  <si>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</si>
  <si>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</si>
  <si>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</si>
  <si>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Katenpo 90L/Day Commercial Electric Dehumidifier: Portable &amp; Smart with Pump Drainage - Rotary Compressor</t>
  </si>
  <si>
    <t>Total</t>
  </si>
  <si>
    <t>TOTAL AMOUNT: SAY EURO THREE HUNDRED AND SEVENTY THREE AND POINT FIFTY THREE ONLY .</t>
  </si>
  <si>
    <t>Net</t>
  </si>
  <si>
    <t>VAT 20%</t>
  </si>
  <si>
    <t>DE455292633</t>
  </si>
  <si>
    <t>Annaburg, 06925
Germany</t>
  </si>
  <si>
    <t xml:space="preserve"># 306-4397944-7564317 </t>
  </si>
  <si>
    <r>
      <rPr>
        <b/>
        <sz val="11"/>
        <color theme="1"/>
        <rFont val="Calibri"/>
        <charset val="134"/>
      </rPr>
      <t>DE-</t>
    </r>
    <r>
      <rPr>
        <sz val="11"/>
        <color theme="1"/>
        <rFont val="Calibri"/>
        <charset val="134"/>
      </rPr>
      <t xml:space="preserve">306-4397944-7564317 </t>
    </r>
  </si>
  <si>
    <t>Katenpo Luftentfeuchter Elektrisch 90L/Tag: Tragbarer Bautrockner mit Smart Control &amp; Pumpenablauf</t>
  </si>
  <si>
    <t>TOTAL AMOUNT: SAY EURO THREE HUNDRED AND SEVENTY FIVE AND POINT TWENTY THREE ONLY.</t>
  </si>
  <si>
    <t>VAT 19%</t>
  </si>
  <si>
    <t>FR28988578092</t>
  </si>
  <si>
    <t>18,December,2025</t>
  </si>
  <si>
    <t>Sudhoferweg 68g
Beckum
59269
Germany</t>
  </si>
  <si>
    <t xml:space="preserve"># 028-8978436-5714727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</si>
  <si>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028-8978436-5714727 </t>
    </r>
  </si>
  <si>
    <t>09,December,2025</t>
  </si>
  <si>
    <t>Trisruvian Automatischer Aktenvernichter mit Mikroschnitt: 150 Blatt Einzug, P-4 Sicherheit</t>
  </si>
  <si>
    <t>TOTAL AMOUNT: SAY EURO TWO HUNDRED AND SEVENTY EIGHT ONLY.</t>
  </si>
  <si>
    <t>31,December,2025</t>
  </si>
  <si>
    <t>Largo Ermini 1
Archivio di Stato di Spoleto - ref. Paolo Bianchi
Spoleto, Perugia 06049
Italy</t>
  </si>
  <si>
    <t xml:space="preserve"># 406-6075902-7649955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</si>
  <si>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406-6075902-7649955 </t>
    </r>
  </si>
  <si>
    <t>29,December,2025</t>
  </si>
  <si>
    <r>
      <rPr>
        <sz val="11"/>
        <color theme="1"/>
        <rFont val="Calibri"/>
        <charset val="134"/>
      </rPr>
      <t>Katenpo Deumidificatore Industriale Professionale Elettrico: 80L/24h per Grandi Ambienti 170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>Pompa</t>
    </r>
  </si>
  <si>
    <t>TOTAL AMOUNT: SAY EURO FOUR HUNDRED AND FIFTY TWO AND POINT TEN ONLY.</t>
  </si>
  <si>
    <t>VAT 22%</t>
  </si>
  <si>
    <t>24,December,2025</t>
  </si>
  <si>
    <t>PT180092863
Praceta Bocas de Lobo, 7
Venda do Alcaide
Palmela, Portugal 2950-341
Portugal</t>
  </si>
  <si>
    <t xml:space="preserve"># 404-7260477-8869136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</si>
  <si>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404-7260477-8869136 </t>
    </r>
  </si>
  <si>
    <t>Katenpo Deshumidificador Profesional Eléctrico Industrial: 80L/Día Potente Compresor Bomba con Tubo de Desagüe</t>
  </si>
  <si>
    <t>TOTAL AMOUNT: SAY EURO TWO HUNDRED AND THIRTY NINE ONLY.</t>
  </si>
  <si>
    <t>VAT 21%</t>
  </si>
  <si>
    <t>CREDIT NOTE</t>
  </si>
  <si>
    <t>To</t>
  </si>
  <si>
    <t>21,November,2025</t>
  </si>
  <si>
    <t>Avda Joan XXIII, 26
43850 Cambrils
Tarragona
DNI: 33243224J
Spain</t>
  </si>
  <si>
    <t>order number:</t>
  </si>
  <si>
    <t xml:space="preserve"># 402-1457748-0582710 </t>
  </si>
  <si>
    <t>0004 credit note</t>
  </si>
  <si>
    <t>17,November,2025</t>
  </si>
  <si>
    <t>Trisruvian Distruggi Documenti Professionale Automatico: 150 Fogli Microframmenti P4 40 Minuti Continui Tritacarta</t>
  </si>
  <si>
    <t>TOTAL AMOUNT: SAY EURO MINUS TWO HUNDRED AND FIFTY EIGHT ONLY.</t>
  </si>
  <si>
    <t>VAT Reverse Charge. Customer to account for VAT.</t>
  </si>
  <si>
    <t>MIRAJ COMMERCE S.R.L.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</si>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</sst>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color rgb="FF0F1111"/>
      <name val="Calibri"/>
      <charset val="134"/>
    </font>
    <font>
      <b/>
      <sz val="12"/>
      <color theme="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9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7" fillId="0" borderId="5" xfId="0" applyFont="1" applyFill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1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2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 applyBorder="1">
      <alignment vertical="center"/>
    </xf>
    <xf numFmtId="0" fontId="13" fillId="0" borderId="0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5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8</v>
      </c>
    </row>
    <row r="9" ht="105" customHeight="1" spans="1:8">
      <c r="A9" s="59"/>
      <c r="B9" s="25" t="s">
        <v>9</v>
      </c>
      <c r="C9" s="4"/>
      <c r="D9" s="62" t="s">
        <v>10</v>
      </c>
      <c r="E9" s="26" t="s">
        <v>11</v>
      </c>
      <c r="H9" s="34"/>
    </row>
    <row r="10" s="4" customFormat="1" ht="15" customHeight="1" spans="1:8">
      <c r="A10" s="1" t="s">
        <v>12</v>
      </c>
      <c r="B10" s="63" t="s">
        <v>13</v>
      </c>
      <c r="E10" s="28"/>
    </row>
    <row r="11" ht="15" customHeight="1" spans="1:8">
      <c r="A11" s="1" t="s">
        <v>14</v>
      </c>
      <c r="B11" s="29" t="s">
        <v>8</v>
      </c>
      <c r="D11" s="30"/>
      <c r="E11" s="28"/>
    </row>
    <row r="12" s="55" customFormat="1" ht="15.75" spans="1:8">
      <c r="A12" s="64" t="s">
        <v>15</v>
      </c>
      <c r="B12" s="65" t="s">
        <v>16</v>
      </c>
      <c r="C12" s="66" t="s">
        <v>17</v>
      </c>
      <c r="D12" s="66" t="s">
        <v>18</v>
      </c>
      <c r="E12" s="67" t="s">
        <v>19</v>
      </c>
    </row>
    <row r="13" ht="65" customHeight="1" spans="1:8">
      <c r="A13" s="68" t="s">
        <v>20</v>
      </c>
      <c r="B13" s="36" t="s">
        <v>21</v>
      </c>
      <c r="C13" s="37">
        <v>1</v>
      </c>
      <c r="D13" s="38">
        <v>373.53</v>
      </c>
      <c r="E13" s="39">
        <f>D13</f>
        <v>373.53</v>
      </c>
    </row>
    <row r="14" ht="21" customHeight="1" spans="1:8">
      <c r="A14" s="69" t="s">
        <v>22</v>
      </c>
      <c r="B14" s="70"/>
      <c r="C14" s="37"/>
      <c r="D14" s="71"/>
      <c r="E14" s="39">
        <f>E13</f>
        <v>373.53</v>
      </c>
    </row>
    <row r="15" ht="15.75" spans="1:8">
      <c r="A15" s="72" t="s">
        <v>23</v>
      </c>
      <c r="B15" s="73"/>
      <c r="C15" s="73"/>
      <c r="D15" s="73"/>
      <c r="E15" s="74"/>
    </row>
    <row r="16" ht="15.75" spans="1:8">
      <c r="A16" s="1" t="s">
        <v>24</v>
      </c>
      <c r="B16" s="2">
        <f>E14/(1+0.2)</f>
        <v>311.275</v>
      </c>
      <c r="E16" s="28"/>
    </row>
    <row r="17" ht="15.75" spans="1:8">
      <c r="A17" s="1" t="s">
        <v>25</v>
      </c>
      <c r="B17" s="2">
        <f>B16*0.2</f>
        <v>62.255</v>
      </c>
      <c r="E17" s="28"/>
    </row>
    <row r="18" ht="15.75" spans="1:8">
      <c r="A18" s="1" t="s">
        <v>22</v>
      </c>
      <c r="B18" s="2">
        <f>B16+B17</f>
        <v>373.53</v>
      </c>
      <c r="E18" s="28"/>
    </row>
    <row r="19" ht="15.75" spans="1:8">
      <c r="A19" s="46"/>
      <c r="D19" s="9" t="s">
        <v>0</v>
      </c>
      <c r="E19" s="74"/>
      <c r="F19" s="75"/>
      <c r="G19" s="77"/>
      <c r="H19" s="4"/>
    </row>
    <row r="20" ht="14.25" spans="1:8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26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8</v>
      </c>
    </row>
    <row r="9" ht="105" customHeight="1" spans="1:8">
      <c r="A9" s="59"/>
      <c r="B9" s="25" t="s">
        <v>27</v>
      </c>
      <c r="C9" s="4"/>
      <c r="D9" s="62" t="s">
        <v>10</v>
      </c>
      <c r="E9" s="26" t="s">
        <v>28</v>
      </c>
      <c r="H9" s="34"/>
    </row>
    <row r="10" s="4" customFormat="1" ht="15" customHeight="1" spans="1:8">
      <c r="A10" s="1" t="s">
        <v>12</v>
      </c>
      <c r="B10" s="63" t="s">
        <v>29</v>
      </c>
      <c r="E10" s="28"/>
    </row>
    <row r="11" ht="15" customHeight="1" spans="1:8">
      <c r="A11" s="1" t="s">
        <v>14</v>
      </c>
      <c r="B11" s="29" t="s">
        <v>8</v>
      </c>
      <c r="D11" s="30"/>
      <c r="E11" s="28"/>
    </row>
    <row r="12" s="55" customFormat="1" ht="15.75" spans="1:8">
      <c r="A12" s="64" t="s">
        <v>15</v>
      </c>
      <c r="B12" s="65" t="s">
        <v>16</v>
      </c>
      <c r="C12" s="66" t="s">
        <v>17</v>
      </c>
      <c r="D12" s="66" t="s">
        <v>18</v>
      </c>
      <c r="E12" s="67" t="s">
        <v>19</v>
      </c>
    </row>
    <row r="13" ht="65" customHeight="1" spans="1:8">
      <c r="A13" s="68" t="s">
        <v>20</v>
      </c>
      <c r="B13" s="36" t="s">
        <v>30</v>
      </c>
      <c r="C13" s="37">
        <v>1</v>
      </c>
      <c r="D13" s="38">
        <v>375.23</v>
      </c>
      <c r="E13" s="39">
        <f>D13</f>
        <v>375.23</v>
      </c>
    </row>
    <row r="14" ht="21" customHeight="1" spans="1:8">
      <c r="A14" s="69" t="s">
        <v>22</v>
      </c>
      <c r="B14" s="70"/>
      <c r="C14" s="37"/>
      <c r="D14" s="71"/>
      <c r="E14" s="39">
        <f>E13</f>
        <v>375.23</v>
      </c>
    </row>
    <row r="15" ht="15.75" spans="1:8">
      <c r="A15" s="72" t="s">
        <v>31</v>
      </c>
      <c r="B15" s="73"/>
      <c r="C15" s="73"/>
      <c r="D15" s="73"/>
      <c r="E15" s="74"/>
    </row>
    <row r="16" ht="15.75" spans="1:8">
      <c r="A16" s="1" t="s">
        <v>24</v>
      </c>
      <c r="B16" s="2">
        <f>E14/(1+0.19)</f>
        <v>315.319327731092</v>
      </c>
      <c r="E16" s="28"/>
    </row>
    <row r="17" ht="15.75" spans="1:8">
      <c r="A17" s="1" t="s">
        <v>32</v>
      </c>
      <c r="B17" s="2">
        <f>B16*0.19</f>
        <v>59.9106722689076</v>
      </c>
      <c r="E17" s="28"/>
    </row>
    <row r="18" ht="15.75" spans="1:8">
      <c r="A18" s="1" t="s">
        <v>22</v>
      </c>
      <c r="B18" s="2">
        <f>B16+B17</f>
        <v>375.23</v>
      </c>
      <c r="E18" s="28"/>
    </row>
    <row r="19" ht="15.75" spans="1:8">
      <c r="A19" s="46"/>
      <c r="D19" s="9" t="s">
        <v>0</v>
      </c>
      <c r="E19" s="74"/>
      <c r="F19" s="75"/>
      <c r="G19" s="77"/>
      <c r="H19" s="4"/>
    </row>
    <row r="20" ht="14.25" spans="1:8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70" zoomScaleNormal="70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33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34</v>
      </c>
    </row>
    <row r="9" ht="105" customHeight="1" spans="1:8">
      <c r="A9" s="59"/>
      <c r="B9" s="25" t="s">
        <v>35</v>
      </c>
      <c r="C9" s="4"/>
      <c r="D9" s="62" t="s">
        <v>10</v>
      </c>
      <c r="E9" s="26" t="s">
        <v>36</v>
      </c>
      <c r="H9" s="34"/>
    </row>
    <row r="10" s="4" customFormat="1" ht="15" customHeight="1" spans="1:8">
      <c r="A10" s="1" t="s">
        <v>12</v>
      </c>
      <c r="B10" s="63" t="s">
        <v>37</v>
      </c>
      <c r="E10" s="28"/>
    </row>
    <row r="11" ht="15" customHeight="1" spans="1:8">
      <c r="A11" s="1" t="s">
        <v>14</v>
      </c>
      <c r="B11" s="29" t="s">
        <v>38</v>
      </c>
      <c r="D11" s="30"/>
      <c r="E11" s="28"/>
    </row>
    <row r="12" s="55" customFormat="1" ht="15.75" spans="1:8">
      <c r="A12" s="64" t="s">
        <v>15</v>
      </c>
      <c r="B12" s="65" t="s">
        <v>16</v>
      </c>
      <c r="C12" s="66" t="s">
        <v>17</v>
      </c>
      <c r="D12" s="66" t="s">
        <v>18</v>
      </c>
      <c r="E12" s="67" t="s">
        <v>19</v>
      </c>
    </row>
    <row r="13" ht="65" customHeight="1" spans="1:8">
      <c r="A13" s="68" t="s">
        <v>20</v>
      </c>
      <c r="B13" s="36" t="s">
        <v>39</v>
      </c>
      <c r="C13" s="37">
        <v>1</v>
      </c>
      <c r="D13" s="38">
        <v>278</v>
      </c>
      <c r="E13" s="39">
        <f>D13</f>
        <v>278</v>
      </c>
    </row>
    <row r="14" ht="21" customHeight="1" spans="1:8">
      <c r="A14" s="69" t="s">
        <v>22</v>
      </c>
      <c r="B14" s="70"/>
      <c r="C14" s="37"/>
      <c r="D14" s="71"/>
      <c r="E14" s="39">
        <f>E13</f>
        <v>278</v>
      </c>
    </row>
    <row r="15" ht="15.75" spans="1:8">
      <c r="A15" s="72" t="s">
        <v>40</v>
      </c>
      <c r="B15" s="73"/>
      <c r="C15" s="73"/>
      <c r="D15" s="73"/>
      <c r="E15" s="74"/>
    </row>
    <row r="16" ht="15.75" spans="1:8">
      <c r="A16" s="1" t="s">
        <v>24</v>
      </c>
      <c r="B16" s="2">
        <f>E14/(1+0.2)</f>
        <v>231.666666666667</v>
      </c>
      <c r="E16" s="28"/>
    </row>
    <row r="17" ht="15.75" spans="1:7">
      <c r="A17" s="1" t="s">
        <v>25</v>
      </c>
      <c r="B17" s="2">
        <f>B16*0.2</f>
        <v>46.3333333333333</v>
      </c>
      <c r="E17" s="28"/>
    </row>
    <row r="18" ht="15.75" spans="1:7">
      <c r="A18" s="1" t="s">
        <v>22</v>
      </c>
      <c r="B18" s="2">
        <f>B16+B17</f>
        <v>278</v>
      </c>
      <c r="E18" s="28"/>
    </row>
    <row r="19" ht="15.75" spans="1:7">
      <c r="A19" s="46"/>
      <c r="D19" s="9" t="s">
        <v>0</v>
      </c>
      <c r="E19" s="74"/>
      <c r="F19" s="75"/>
      <c r="G19" s="76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26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41</v>
      </c>
    </row>
    <row r="9" ht="105" customHeight="1" spans="1:8">
      <c r="A9" s="59"/>
      <c r="B9" s="25" t="s">
        <v>42</v>
      </c>
      <c r="C9" s="4"/>
      <c r="D9" s="62" t="s">
        <v>10</v>
      </c>
      <c r="E9" s="26" t="s">
        <v>43</v>
      </c>
      <c r="H9" s="34"/>
    </row>
    <row r="10" s="4" customFormat="1" ht="15" customHeight="1" spans="1:8">
      <c r="A10" s="1" t="s">
        <v>12</v>
      </c>
      <c r="B10" s="63" t="s">
        <v>44</v>
      </c>
      <c r="E10" s="28"/>
    </row>
    <row r="11" ht="15" customHeight="1" spans="1:8">
      <c r="A11" s="1" t="s">
        <v>14</v>
      </c>
      <c r="B11" s="29" t="s">
        <v>45</v>
      </c>
      <c r="D11" s="30"/>
      <c r="E11" s="28"/>
    </row>
    <row r="12" s="55" customFormat="1" ht="15.75" spans="1:8">
      <c r="A12" s="64" t="s">
        <v>15</v>
      </c>
      <c r="B12" s="65" t="s">
        <v>16</v>
      </c>
      <c r="C12" s="66" t="s">
        <v>17</v>
      </c>
      <c r="D12" s="66" t="s">
        <v>18</v>
      </c>
      <c r="E12" s="67" t="s">
        <v>19</v>
      </c>
    </row>
    <row r="13" ht="65" customHeight="1" spans="1:8">
      <c r="A13" s="68" t="s">
        <v>20</v>
      </c>
      <c r="B13" s="36" t="s">
        <v>46</v>
      </c>
      <c r="C13" s="37">
        <v>2</v>
      </c>
      <c r="D13" s="38">
        <v>226.05</v>
      </c>
      <c r="E13" s="39">
        <f>D13*C13</f>
        <v>452.1</v>
      </c>
    </row>
    <row r="14" ht="21" customHeight="1" spans="1:8">
      <c r="A14" s="69" t="s">
        <v>22</v>
      </c>
      <c r="B14" s="70"/>
      <c r="C14" s="37"/>
      <c r="D14" s="71"/>
      <c r="E14" s="39">
        <f>E13</f>
        <v>452.1</v>
      </c>
    </row>
    <row r="15" ht="15.75" spans="1:8">
      <c r="A15" s="72" t="s">
        <v>47</v>
      </c>
      <c r="B15" s="73"/>
      <c r="C15" s="73"/>
      <c r="D15" s="73"/>
      <c r="E15" s="74"/>
    </row>
    <row r="16" ht="15.75" spans="1:8">
      <c r="A16" s="1" t="s">
        <v>24</v>
      </c>
      <c r="B16" s="2">
        <f>E13/(1+0.22)</f>
        <v>370.573770491803</v>
      </c>
      <c r="E16" s="28"/>
    </row>
    <row r="17" ht="15.75" spans="1:7">
      <c r="A17" s="1" t="s">
        <v>48</v>
      </c>
      <c r="B17" s="2">
        <f>B16*0.22</f>
        <v>81.5262295081967</v>
      </c>
      <c r="E17" s="28"/>
    </row>
    <row r="18" ht="15.75" spans="1:7">
      <c r="A18" s="1" t="s">
        <v>22</v>
      </c>
      <c r="B18" s="2">
        <f>B16+B17</f>
        <v>452.1</v>
      </c>
      <c r="E18" s="28"/>
    </row>
    <row r="19" ht="15.75" spans="1:7">
      <c r="A19" s="46"/>
      <c r="D19" s="9" t="s">
        <v>0</v>
      </c>
      <c r="E19" s="74"/>
      <c r="F19" s="75"/>
      <c r="G19" s="76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26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49</v>
      </c>
    </row>
    <row r="9" ht="105" customHeight="1" spans="1:8">
      <c r="A9" s="59"/>
      <c r="B9" s="25" t="s">
        <v>50</v>
      </c>
      <c r="C9" s="4"/>
      <c r="D9" s="62" t="s">
        <v>10</v>
      </c>
      <c r="E9" s="26" t="s">
        <v>51</v>
      </c>
      <c r="H9" s="34"/>
    </row>
    <row r="10" s="4" customFormat="1" ht="15" customHeight="1" spans="1:8">
      <c r="A10" s="1" t="s">
        <v>12</v>
      </c>
      <c r="B10" s="63" t="s">
        <v>52</v>
      </c>
      <c r="E10" s="28"/>
    </row>
    <row r="11" ht="15" customHeight="1" spans="1:8">
      <c r="A11" s="1" t="s">
        <v>14</v>
      </c>
      <c r="B11" s="29" t="s">
        <v>8</v>
      </c>
      <c r="D11" s="30"/>
      <c r="E11" s="28"/>
    </row>
    <row r="12" s="55" customFormat="1" ht="15.75" spans="1:8">
      <c r="A12" s="64" t="s">
        <v>15</v>
      </c>
      <c r="B12" s="65" t="s">
        <v>16</v>
      </c>
      <c r="C12" s="66" t="s">
        <v>17</v>
      </c>
      <c r="D12" s="66" t="s">
        <v>18</v>
      </c>
      <c r="E12" s="67" t="s">
        <v>19</v>
      </c>
    </row>
    <row r="13" ht="65" customHeight="1" spans="1:8">
      <c r="A13" s="68" t="s">
        <v>20</v>
      </c>
      <c r="B13" s="36" t="s">
        <v>53</v>
      </c>
      <c r="C13" s="37">
        <v>1</v>
      </c>
      <c r="D13" s="38">
        <v>239</v>
      </c>
      <c r="E13" s="39">
        <f>D13</f>
        <v>239</v>
      </c>
    </row>
    <row r="14" ht="21" customHeight="1" spans="1:8">
      <c r="A14" s="69" t="s">
        <v>22</v>
      </c>
      <c r="B14" s="70"/>
      <c r="C14" s="37"/>
      <c r="D14" s="71"/>
      <c r="E14" s="39">
        <f>E13</f>
        <v>239</v>
      </c>
    </row>
    <row r="15" ht="15.75" spans="1:8">
      <c r="A15" s="72" t="s">
        <v>54</v>
      </c>
      <c r="B15" s="73"/>
      <c r="C15" s="73"/>
      <c r="D15" s="73"/>
      <c r="E15" s="74"/>
    </row>
    <row r="16" ht="15.75" spans="1:8">
      <c r="A16" s="1" t="s">
        <v>24</v>
      </c>
      <c r="B16" s="2">
        <f>E13/(1+0.21)</f>
        <v>197.520661157025</v>
      </c>
      <c r="E16" s="28"/>
    </row>
    <row r="17" ht="15.75" spans="1:7">
      <c r="A17" s="1" t="s">
        <v>55</v>
      </c>
      <c r="B17" s="2">
        <f>B16*0.21</f>
        <v>41.4793388429752</v>
      </c>
      <c r="E17" s="28"/>
    </row>
    <row r="18" ht="15.75" spans="1:7">
      <c r="A18" s="1" t="s">
        <v>22</v>
      </c>
      <c r="B18" s="2">
        <f>B16+B17</f>
        <v>239</v>
      </c>
      <c r="E18" s="28"/>
    </row>
    <row r="19" ht="19" customHeight="1" spans="1:7">
      <c r="A19" s="46"/>
      <c r="D19" s="9" t="s">
        <v>0</v>
      </c>
      <c r="E19" s="74"/>
      <c r="F19" s="75"/>
      <c r="G19" s="76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B6" sqref="B6:C6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56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57</v>
      </c>
      <c r="B6" s="20"/>
      <c r="C6" s="21"/>
      <c r="D6" s="22" t="s">
        <v>7</v>
      </c>
      <c r="E6" s="23" t="s">
        <v>58</v>
      </c>
    </row>
    <row r="7" ht="105" customHeight="1" spans="1:8">
      <c r="A7" s="24"/>
      <c r="B7" s="25" t="s">
        <v>59</v>
      </c>
      <c r="C7" s="4"/>
      <c r="D7" s="22" t="s">
        <v>60</v>
      </c>
      <c r="E7" s="26" t="s">
        <v>61</v>
      </c>
    </row>
    <row r="8" ht="15.75" spans="1:8">
      <c r="A8" s="24" t="s">
        <v>12</v>
      </c>
      <c r="B8" s="27" t="s">
        <v>62</v>
      </c>
      <c r="C8" s="4"/>
      <c r="D8" s="4"/>
      <c r="E8" s="28"/>
    </row>
    <row r="9" ht="15.75" spans="1:8">
      <c r="A9" s="24" t="s">
        <v>14</v>
      </c>
      <c r="B9" s="29" t="s">
        <v>63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64</v>
      </c>
      <c r="C11" s="37">
        <v>1</v>
      </c>
      <c r="D11" s="38">
        <v>-258</v>
      </c>
      <c r="E11" s="39">
        <f>D11</f>
        <v>-258</v>
      </c>
    </row>
    <row r="12" ht="21" customHeight="1" spans="1:8">
      <c r="A12" s="40" t="s">
        <v>22</v>
      </c>
      <c r="B12" s="41"/>
      <c r="C12" s="42"/>
      <c r="D12" s="42"/>
      <c r="E12" s="43">
        <f>E11</f>
        <v>-258</v>
      </c>
    </row>
    <row r="13" ht="15.75" spans="1:8">
      <c r="A13" s="24" t="s">
        <v>65</v>
      </c>
      <c r="B13" s="44"/>
      <c r="C13" s="44"/>
      <c r="D13" s="44"/>
      <c r="E13" s="45"/>
    </row>
    <row r="14" ht="12" customHeight="1" spans="1:8">
      <c r="A14" s="46"/>
      <c r="E14" s="28"/>
    </row>
    <row r="15" ht="14" customHeight="1" spans="1:8">
      <c r="A15" s="47" t="s">
        <v>66</v>
      </c>
      <c r="B15" s="48"/>
      <c r="E15" s="28"/>
    </row>
    <row r="16" ht="15.75" spans="1:8">
      <c r="A16" s="46"/>
      <c r="C16" s="49" t="s">
        <v>67</v>
      </c>
      <c r="D16" s="49"/>
      <c r="E16" s="50"/>
    </row>
    <row r="17" spans="1:5">
      <c r="A17" s="46"/>
      <c r="E17" s="28"/>
    </row>
    <row r="18" ht="14.25" spans="1:5">
      <c r="A18" s="51"/>
      <c r="B18" s="52"/>
      <c r="C18" s="52"/>
      <c r="D18" s="52"/>
      <c r="E18" s="53"/>
    </row>
    <row r="19" spans="1:5">
      <c r="A19" s="5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9">
    <mergeCell ref="A1:E1"/>
    <mergeCell ref="A2:E2"/>
    <mergeCell ref="A3:E3"/>
    <mergeCell ref="A4:E4"/>
    <mergeCell ref="B6:C6"/>
    <mergeCell ref="A12:B12"/>
    <mergeCell ref="A13:E13"/>
    <mergeCell ref="A15:B15"/>
    <mergeCell ref="C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2" workbookViewId="0">
      <selection activeCell="C12" sqref="C12"/>
    </sheetView>
  </sheetViews>
  <sheetFormatPr defaultColWidth="9" defaultRowHeight="13.5" outlineLevelCol="2"/>
  <sheetData>
    <row r="1" spans="1:3">
      <c r="A1" t="s">
        <v>68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32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69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25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70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48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71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55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英国</vt:lpstr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