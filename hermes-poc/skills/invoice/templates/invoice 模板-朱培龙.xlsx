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325" activeTab="2"/>
  </bookViews>
  <sheets>
    <sheet name="德国" sheetId="10" r:id="rId1"/>
    <sheet name="法国" sheetId="12" r:id="rId2"/>
    <sheet name="意大利" sheetId="13" r:id="rId3"/>
    <sheet name="西班牙" sheetId="14" r:id="rId4"/>
    <sheet name="贷记单" sheetId="5" r:id="rId5"/>
    <sheet name="税率计算" sheetId="11" r:id="rId6"/>
  </sheets>
  <definedNames>
    <definedName name="_xlnm.Print_Area" localSheetId="4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<sst xmlns="http://schemas.openxmlformats.org/spreadsheetml/2006/main" count="150" uniqueCount="59">
  <si>
    <t>Hebi Liucheng Trading Co., Ltd.</t>
  </si>
  <si>
    <t>No. 30, Daliangzhuang Community, Tonghua Street, Qibin District, Hebi City, Henan Province 458000,CN</t>
  </si>
  <si>
    <t>E-mail: siquannay38@163.com</t>
  </si>
  <si>
    <t>COMMERCIAL INVOICE</t>
  </si>
  <si>
    <t>Seller VAT</t>
  </si>
  <si>
    <t>RO52079717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</si>
  <si>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</si>
  <si>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</si>
  <si>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</si>
  <si>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</si>
  <si>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</si>
  <si>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</si>
  <si>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</si>
  <si>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</si>
  <si>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</si>
  <si>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</si>
  <si>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</si>
  <si>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</si>
  <si>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</si>
  <si>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</si>
  <si>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</si>
  <si>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</si>
  <si>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</si>
  <si>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</si>
  <si>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</si>
  <si>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</si>
  <si>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</si>
  <si>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</si>
  <si>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</si>
  <si>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</si>
  <si>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</si>
  <si>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</si>
  <si>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</si>
  <si>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ASPIRAZIONE BRESCIANA s.r.l.
P.I./C.F. 03164230173
Via Luigi Becchetti, 66
25081 Bedizzole (BS)
Italy</t>
  </si>
  <si>
    <t xml:space="preserve"># 408-2397739-0768328 </t>
  </si>
  <si>
    <r>
      <t>IT-</t>
    </r>
    <r>
      <rPr>
        <sz val="11"/>
        <color theme="1"/>
        <rFont val="Calibri"/>
        <charset val="134"/>
      </rPr>
      <t xml:space="preserve">408-2397739-0768328 </t>
    </r>
  </si>
  <si>
    <t>Plurishinal Distruggi Documenti Automatico Professionale: Trituratore 150 Fogli</t>
  </si>
  <si>
    <t>TOTAL AMOUNT: SAY EURO TWO HUNDRED AND TWENTY TWO AND POINT SEVENTY THREE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</si>
  <si>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</si>
  <si>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</si>
  <si>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</si>
  <si>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</si>
  <si>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</si>
  <si>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</si>
  <si>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</si>
  <si>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</si>
  <si>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</si>
  <si>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01,September,2025</t>
  </si>
  <si>
    <t>MiquelMillan de la Torre
Calle Carme 14
Casa Orange
Soleia U, Barcelona 08759
Spain</t>
  </si>
  <si>
    <t>order number: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</si>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</sst>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dd\-mmm\-yy"/>
    <numFmt numFmtId="182" formatCode="[$-809]dd\ mmmm\ yyyy;@"/>
  </numFmts>
  <fonts count="3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80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81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80" fontId="2" fillId="0" borderId="8" xfId="0" applyNumberFormat="1" applyFont="1" applyFill="1" applyBorder="1" applyAlignment="1">
      <alignment horizontal="center" vertical="center" wrapText="1"/>
    </xf>
    <xf numFmtId="180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80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82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82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9" sqref="B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26</v>
      </c>
    </row>
    <row r="9" ht="105" customHeight="1" spans="1:8">
      <c r="A9" s="57"/>
      <c r="B9" s="25" t="s">
        <v>27</v>
      </c>
      <c r="C9" s="4"/>
      <c r="D9" s="62" t="s">
        <v>10</v>
      </c>
      <c r="E9" s="63" t="s">
        <v>28</v>
      </c>
      <c r="H9" s="34"/>
    </row>
    <row r="10" s="4" customFormat="1" ht="15" customHeight="1" spans="1:8">
      <c r="A10" s="1" t="s">
        <v>12</v>
      </c>
      <c r="B10" s="64" t="s">
        <v>29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30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31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32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B10" sqref="B10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46058</v>
      </c>
    </row>
    <row r="9" ht="105" customHeight="1" spans="1:8">
      <c r="A9" s="57"/>
      <c r="B9" s="25" t="s">
        <v>33</v>
      </c>
      <c r="C9" s="4"/>
      <c r="D9" s="62" t="s">
        <v>10</v>
      </c>
      <c r="E9" s="63" t="s">
        <v>34</v>
      </c>
      <c r="H9" s="34"/>
    </row>
    <row r="10" s="4" customFormat="1" ht="15" customHeight="1" spans="1:8">
      <c r="A10" s="1" t="s">
        <v>12</v>
      </c>
      <c r="B10" s="64" t="s">
        <v>35</v>
      </c>
      <c r="E10" s="28"/>
    </row>
    <row r="11" ht="15" customHeight="1" spans="1:8">
      <c r="A11" s="1" t="s">
        <v>14</v>
      </c>
      <c r="B11" s="65">
        <v>46050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36</v>
      </c>
      <c r="C13" s="37">
        <v>1</v>
      </c>
      <c r="D13" s="38">
        <v>222.73</v>
      </c>
      <c r="E13" s="39">
        <f>D13*C13</f>
        <v>222.73</v>
      </c>
    </row>
    <row r="14" ht="21" customHeight="1" spans="1:8">
      <c r="A14" s="71" t="s">
        <v>22</v>
      </c>
      <c r="B14" s="72"/>
      <c r="C14" s="37"/>
      <c r="D14" s="73"/>
      <c r="E14" s="39">
        <f>E13</f>
        <v>222.73</v>
      </c>
    </row>
    <row r="15" ht="15.75" spans="1:8">
      <c r="A15" s="74" t="s">
        <v>37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182.565573770492</v>
      </c>
      <c r="E16" s="28"/>
    </row>
    <row r="17" ht="15.75" spans="1:7">
      <c r="A17" s="1" t="s">
        <v>38</v>
      </c>
      <c r="B17" s="2">
        <f>B16*0.22</f>
        <v>40.1644262295082</v>
      </c>
      <c r="E17" s="28"/>
    </row>
    <row r="18" ht="15.75" spans="1:7">
      <c r="A18" s="1" t="s">
        <v>22</v>
      </c>
      <c r="B18" s="2">
        <f>B16+B17</f>
        <v>222.73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39</v>
      </c>
      <c r="C9" s="4"/>
      <c r="D9" s="62" t="s">
        <v>10</v>
      </c>
      <c r="E9" s="63" t="s">
        <v>40</v>
      </c>
      <c r="H9" s="34"/>
    </row>
    <row r="10" s="4" customFormat="1" ht="15" customHeight="1" spans="1:8">
      <c r="A10" s="1" t="s">
        <v>12</v>
      </c>
      <c r="B10" s="64" t="s">
        <v>41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42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43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44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D16" sqref="D16:E16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45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46</v>
      </c>
      <c r="B6" s="20"/>
      <c r="C6" s="21"/>
      <c r="D6" s="22" t="s">
        <v>7</v>
      </c>
      <c r="E6" s="23" t="s">
        <v>47</v>
      </c>
    </row>
    <row r="7" ht="105" customHeight="1" spans="1:8">
      <c r="A7" s="24"/>
      <c r="B7" s="25" t="s">
        <v>48</v>
      </c>
      <c r="C7" s="4"/>
      <c r="D7" s="22" t="s">
        <v>49</v>
      </c>
      <c r="E7" s="26" t="s">
        <v>50</v>
      </c>
    </row>
    <row r="8" ht="15.75" spans="1:8">
      <c r="A8" s="24" t="s">
        <v>12</v>
      </c>
      <c r="B8" s="27" t="s">
        <v>51</v>
      </c>
      <c r="C8" s="4"/>
      <c r="D8" s="4"/>
      <c r="E8" s="28"/>
    </row>
    <row r="9" ht="15.75" spans="1:8">
      <c r="A9" s="24" t="s">
        <v>14</v>
      </c>
      <c r="B9" s="29" t="s">
        <v>52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53</v>
      </c>
      <c r="C11" s="37">
        <v>1</v>
      </c>
      <c r="D11" s="38">
        <v>-208.05</v>
      </c>
      <c r="E11" s="39">
        <f>(D11)</f>
        <v>-208.05</v>
      </c>
    </row>
    <row r="12" ht="21" customHeight="1" spans="1:8">
      <c r="A12" s="40" t="s">
        <v>22</v>
      </c>
      <c r="B12" s="41"/>
      <c r="C12" s="42"/>
      <c r="D12" s="42"/>
      <c r="E12" s="43">
        <f>E11</f>
        <v>-208.05</v>
      </c>
    </row>
    <row r="13" ht="15.75" spans="1:8">
      <c r="A13" s="24" t="s">
        <v>54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55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56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32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57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38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58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44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德国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pc</cp:lastModifiedBy>
  <dcterms:created xsi:type="dcterms:W3CDTF">2023-01-12T03:18:00Z</dcterms:created>
  <dcterms:modified xsi:type="dcterms:W3CDTF">2026-02-05T09:00:56Z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