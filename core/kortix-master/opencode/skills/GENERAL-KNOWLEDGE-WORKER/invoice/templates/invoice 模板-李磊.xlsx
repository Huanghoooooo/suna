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英国" sheetId="10" r:id="rId1"/>
    <sheet name="德国" sheetId="15" r:id="rId2"/>
    <sheet name="法国" sheetId="12" r:id="rId3"/>
    <sheet name="意大利" sheetId="13" r:id="rId4"/>
    <sheet name="西班牙" sheetId="14" r:id="rId5"/>
    <sheet name="贷记单" sheetId="5" r:id="rId6"/>
    <sheet name="税率计算" sheetId="11" r:id="rId7"/>
  </sheets>
  <definedNames>
    <definedName name="_xlnm.Print_Area" localSheetId="5">贷记单!$A$1:$E$18</definedName>
    <definedName name="_xlnm.Print_Area" localSheetId="0">英国!$A$1:$E$20</definedName>
    <definedName name="_xlnm.Print_Area" localSheetId="2">法国!$A$1:$E$20</definedName>
    <definedName name="_xlnm.Print_Area" localSheetId="3">意大利!$A$1:$E$20</definedName>
    <definedName name="_xlnm.Print_Area" localSheetId="4">西班牙!$A$1:$E$20</definedName>
    <definedName name="_xlnm.Print_Area" localSheetId="1">德国!$A$1:$E$20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<sst xmlns="http://schemas.openxmlformats.org/spreadsheetml/2006/main" count="179" uniqueCount="63">
  <si>
    <t>xinxiangshiyueduanshangmaoyouxiangongsi</t>
  </si>
  <si>
    <t>weibinqukelongdadao111hao, xinhuajiayuan7haolou105shi, xinxiangshi, henansheng, 453000, CN</t>
  </si>
  <si>
    <t>E-mail: ranqueph61@163.com</t>
  </si>
  <si>
    <t>COMMERCIAL INVOICE</t>
  </si>
  <si>
    <t>Seller VAT</t>
  </si>
  <si>
    <t>GB492129677</t>
  </si>
  <si>
    <t>Customer information</t>
  </si>
  <si>
    <t>Invoice date:</t>
  </si>
  <si>
    <t>16,December,2025</t>
  </si>
  <si>
    <t>Büro Grünwald GmbH
Hubertusstraße 11d
Grünwald
82031
Germany</t>
  </si>
  <si>
    <t>Order number:</t>
  </si>
  <si>
    <t xml:space="preserve"># 305-7644530-2706742 </t>
  </si>
  <si>
    <t>Invoice</t>
  </si>
  <si>
    <t xml:space="preserve">RO-305-7644530-2706742 </t>
  </si>
  <si>
    <t>Delivery date</t>
  </si>
  <si>
    <t>Marks&amp;No.</t>
  </si>
  <si>
    <t>Description of goods</t>
  </si>
  <si>
    <t>Quantity</t>
  </si>
  <si>
    <t>Unit price(GBP)</t>
  </si>
  <si>
    <t>Total Amount(GBP)</t>
  </si>
  <si>
    <t>N/M</t>
  </si>
  <si>
    <t>Megonia Automatisches Elektrisches Katzenklo Selbstreinigend: APP-Fernsteuerung WiFi 2.4GHz 65L</t>
  </si>
  <si>
    <t>Total</t>
  </si>
  <si>
    <t>TOTAL AMOUNT: SAY EURO  TWO HUNDRED AND THIRTY FIVE AND POINT SIXTY ONLY.</t>
  </si>
  <si>
    <t>Net</t>
  </si>
  <si>
    <t>VAT 19%</t>
  </si>
  <si>
    <t>DE454922551</t>
  </si>
  <si>
    <t>Unit price(EUR)</t>
  </si>
  <si>
    <t>Total Amount(EUR)</t>
  </si>
  <si>
    <t>31,December,2025</t>
  </si>
  <si>
    <t>233 Route des Lechères
MAUBEC
38300
France</t>
  </si>
  <si>
    <t xml:space="preserve"># 403-6136545-4730764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</si>
  <si>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403-6136545-4730764 </t>
    </r>
  </si>
  <si>
    <t>Megonia Scanner Portable A3 Automatique: 8MP Haute Résolution Format A3 OCR</t>
  </si>
  <si>
    <t>TOTAL AMOUNT: SAY EURO NINETY FOUR ONLY.</t>
  </si>
  <si>
    <t>VAT 20%</t>
  </si>
  <si>
    <t>23,December,2025</t>
  </si>
  <si>
    <t>STRADA PROVINCIALE 28 KM 0,800
FRANCAVILLA FONTANA
BRINDISI
72021
Italy</t>
  </si>
  <si>
    <t xml:space="preserve"># 405-4175497-5450757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</si>
  <si>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405-4175497-5450757 </t>
    </r>
  </si>
  <si>
    <r>
      <rPr>
        <sz val="11"/>
        <color theme="1"/>
        <rFont val="Calibri"/>
        <charset val="134"/>
      </rPr>
      <t>Megonia Deumidificatore Casa Muffa Silenzioso: Portatile 90L/G 240</t>
    </r>
    <r>
      <rPr>
        <sz val="11"/>
        <color theme="1"/>
        <rFont val="宋体"/>
        <charset val="134"/>
      </rPr>
      <t>㎡</t>
    </r>
    <r>
      <rPr>
        <sz val="11"/>
        <color theme="1"/>
        <rFont val="Calibri"/>
        <charset val="134"/>
      </rPr>
      <t xml:space="preserve"> Pompa Acqua 5M</t>
    </r>
  </si>
  <si>
    <t>TOTAL AMOUNT: SAY EURO THREE HUNDRED AND FORTY EIGHT AND POINT SIXTY FIVE ONLY.</t>
  </si>
  <si>
    <t>VAT 22%</t>
  </si>
  <si>
    <t>Rúa Santiago 21
Bajo
Pontedeume
Galicia
15600
Spain</t>
  </si>
  <si>
    <t xml:space="preserve"># 407-4318086-6510728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</si>
  <si>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407-4318086-6510728 </t>
    </r>
  </si>
  <si>
    <t>Megonia Deshumidificador Eléctrico Portátil de Humedad: 65L/Día Bajo Consumo Drenaje</t>
  </si>
  <si>
    <t>TOTAL AMOUNT: SAY EURO ONE HUNDRED AND EIGHTY AND POINT FORTY NINE ONLY .</t>
  </si>
  <si>
    <t>VAT 21%</t>
  </si>
  <si>
    <t>CREDIT NOTE</t>
  </si>
  <si>
    <t>To</t>
  </si>
  <si>
    <t>01,September,2025</t>
  </si>
  <si>
    <t>MiquelMillan de la Torre
Calle Carme 14
Casa Orange
Soleia U, Barcelona 08759
Spain</t>
  </si>
  <si>
    <t>order number:</t>
  </si>
  <si>
    <t># 404-1890227-2099530</t>
  </si>
  <si>
    <t>0003 credit note</t>
  </si>
  <si>
    <t>15,August,2025</t>
  </si>
  <si>
    <t>Megonia Plancha Vertical Vapor Profesional: 1400W 12 Niveles</t>
  </si>
  <si>
    <t>TOTAL AMOUNT: SAY EURO MINUS TWO HUNDRED AND EIGHT AND POINT FIVE ONLY.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</si>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</sst>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8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3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85" zoomScaleNormal="85" workbookViewId="0">
      <selection activeCell="B31" sqref="B31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26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27</v>
      </c>
      <c r="E12" s="69" t="s">
        <v>28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26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29</v>
      </c>
    </row>
    <row r="9" ht="105" customHeight="1" spans="1:8">
      <c r="A9" s="57"/>
      <c r="B9" s="25" t="s">
        <v>30</v>
      </c>
      <c r="C9" s="4"/>
      <c r="D9" s="62" t="s">
        <v>10</v>
      </c>
      <c r="E9" s="63" t="s">
        <v>31</v>
      </c>
      <c r="H9" s="34"/>
    </row>
    <row r="10" s="4" customFormat="1" ht="15" customHeight="1" spans="1:8">
      <c r="A10" s="1" t="s">
        <v>12</v>
      </c>
      <c r="B10" s="64" t="s">
        <v>32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27</v>
      </c>
      <c r="E12" s="69" t="s">
        <v>28</v>
      </c>
    </row>
    <row r="13" ht="65" customHeight="1" spans="1:8">
      <c r="A13" s="70" t="s">
        <v>20</v>
      </c>
      <c r="B13" s="36" t="s">
        <v>33</v>
      </c>
      <c r="C13" s="37">
        <v>1</v>
      </c>
      <c r="D13" s="38">
        <v>94</v>
      </c>
      <c r="E13" s="39">
        <f>D13*C13</f>
        <v>94</v>
      </c>
    </row>
    <row r="14" ht="21" customHeight="1" spans="1:8">
      <c r="A14" s="71" t="s">
        <v>22</v>
      </c>
      <c r="B14" s="72"/>
      <c r="C14" s="37"/>
      <c r="D14" s="73"/>
      <c r="E14" s="39">
        <f>E13</f>
        <v>94</v>
      </c>
    </row>
    <row r="15" ht="15.75" spans="1:8">
      <c r="A15" s="74" t="s">
        <v>34</v>
      </c>
      <c r="B15" s="75"/>
      <c r="C15" s="75"/>
      <c r="D15" s="75"/>
      <c r="E15" s="76"/>
    </row>
    <row r="16" ht="15.75" spans="1:8">
      <c r="A16" s="1" t="s">
        <v>24</v>
      </c>
      <c r="B16" s="2">
        <f>E14/(1+0.2)</f>
        <v>78.3333333333333</v>
      </c>
      <c r="E16" s="28"/>
    </row>
    <row r="17" ht="15.75" spans="1:7">
      <c r="A17" s="1" t="s">
        <v>35</v>
      </c>
      <c r="B17" s="2">
        <f>B16*0.2</f>
        <v>15.6666666666667</v>
      </c>
      <c r="E17" s="28"/>
    </row>
    <row r="18" ht="15.75" spans="1:7">
      <c r="A18" s="1" t="s">
        <v>22</v>
      </c>
      <c r="B18" s="2">
        <f>B16+B17</f>
        <v>94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26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36</v>
      </c>
    </row>
    <row r="9" ht="105" customHeight="1" spans="1:8">
      <c r="A9" s="57"/>
      <c r="B9" s="25" t="s">
        <v>37</v>
      </c>
      <c r="C9" s="4"/>
      <c r="D9" s="62" t="s">
        <v>10</v>
      </c>
      <c r="E9" s="63" t="s">
        <v>38</v>
      </c>
      <c r="H9" s="34"/>
    </row>
    <row r="10" s="4" customFormat="1" ht="15" customHeight="1" spans="1:8">
      <c r="A10" s="1" t="s">
        <v>12</v>
      </c>
      <c r="B10" s="64" t="s">
        <v>39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27</v>
      </c>
      <c r="E12" s="69" t="s">
        <v>28</v>
      </c>
    </row>
    <row r="13" ht="65" customHeight="1" spans="1:8">
      <c r="A13" s="70" t="s">
        <v>20</v>
      </c>
      <c r="B13" s="36" t="s">
        <v>40</v>
      </c>
      <c r="C13" s="37">
        <v>1</v>
      </c>
      <c r="D13" s="38">
        <v>348.65</v>
      </c>
      <c r="E13" s="39">
        <f>D13*C13</f>
        <v>348.65</v>
      </c>
    </row>
    <row r="14" ht="21" customHeight="1" spans="1:8">
      <c r="A14" s="71" t="s">
        <v>22</v>
      </c>
      <c r="B14" s="72"/>
      <c r="C14" s="37"/>
      <c r="D14" s="73"/>
      <c r="E14" s="39">
        <f>E13</f>
        <v>348.65</v>
      </c>
    </row>
    <row r="15" ht="15.75" spans="1:8">
      <c r="A15" s="74" t="s">
        <v>41</v>
      </c>
      <c r="B15" s="75"/>
      <c r="C15" s="75"/>
      <c r="D15" s="75"/>
      <c r="E15" s="76"/>
    </row>
    <row r="16" ht="15.75" spans="1:8">
      <c r="A16" s="1" t="s">
        <v>24</v>
      </c>
      <c r="B16" s="2">
        <f>E13/(1+0.22)</f>
        <v>285.77868852459</v>
      </c>
      <c r="E16" s="28"/>
    </row>
    <row r="17" ht="15.75" spans="1:7">
      <c r="A17" s="1" t="s">
        <v>42</v>
      </c>
      <c r="B17" s="2">
        <f>B16*0.22</f>
        <v>62.8713114754098</v>
      </c>
      <c r="E17" s="28"/>
    </row>
    <row r="18" ht="15.75" spans="1:7">
      <c r="A18" s="1" t="s">
        <v>22</v>
      </c>
      <c r="B18" s="2">
        <f>B16+B17</f>
        <v>348.65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26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46026</v>
      </c>
    </row>
    <row r="9" ht="105" customHeight="1" spans="1:8">
      <c r="A9" s="57"/>
      <c r="B9" s="25" t="s">
        <v>43</v>
      </c>
      <c r="C9" s="4"/>
      <c r="D9" s="62" t="s">
        <v>10</v>
      </c>
      <c r="E9" s="63" t="s">
        <v>44</v>
      </c>
      <c r="H9" s="34"/>
    </row>
    <row r="10" s="4" customFormat="1" ht="15" customHeight="1" spans="1:8">
      <c r="A10" s="1" t="s">
        <v>12</v>
      </c>
      <c r="B10" s="64" t="s">
        <v>45</v>
      </c>
      <c r="E10" s="28"/>
    </row>
    <row r="11" ht="15" customHeight="1" spans="1:8">
      <c r="A11" s="1" t="s">
        <v>14</v>
      </c>
      <c r="B11" s="65">
        <v>46003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27</v>
      </c>
      <c r="E12" s="69" t="s">
        <v>28</v>
      </c>
    </row>
    <row r="13" ht="65" customHeight="1" spans="1:8">
      <c r="A13" s="70" t="s">
        <v>20</v>
      </c>
      <c r="B13" s="36" t="s">
        <v>46</v>
      </c>
      <c r="C13" s="37">
        <v>1</v>
      </c>
      <c r="D13" s="38">
        <v>180.49</v>
      </c>
      <c r="E13" s="39">
        <f>D13*C13</f>
        <v>180.49</v>
      </c>
    </row>
    <row r="14" ht="21" customHeight="1" spans="1:8">
      <c r="A14" s="71" t="s">
        <v>22</v>
      </c>
      <c r="B14" s="72"/>
      <c r="C14" s="37"/>
      <c r="D14" s="73"/>
      <c r="E14" s="39">
        <f>E13</f>
        <v>180.49</v>
      </c>
    </row>
    <row r="15" ht="15.75" spans="1:8">
      <c r="A15" s="74" t="s">
        <v>47</v>
      </c>
      <c r="B15" s="75"/>
      <c r="C15" s="75"/>
      <c r="D15" s="75"/>
      <c r="E15" s="76"/>
    </row>
    <row r="16" ht="15.75" spans="1:8">
      <c r="A16" s="1" t="s">
        <v>24</v>
      </c>
      <c r="B16" s="2">
        <f>E13/(1+0.21)</f>
        <v>149.165289256198</v>
      </c>
      <c r="E16" s="28"/>
    </row>
    <row r="17" ht="15.75" spans="1:7">
      <c r="A17" s="1" t="s">
        <v>48</v>
      </c>
      <c r="B17" s="2">
        <f>B16*0.21</f>
        <v>31.3247107438017</v>
      </c>
      <c r="E17" s="28"/>
    </row>
    <row r="18" ht="15.75" spans="1:7">
      <c r="A18" s="1" t="s">
        <v>22</v>
      </c>
      <c r="B18" s="2">
        <f>B16+B17</f>
        <v>180.49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D16" sqref="D16:E16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49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50</v>
      </c>
      <c r="B6" s="20"/>
      <c r="C6" s="21"/>
      <c r="D6" s="22" t="s">
        <v>7</v>
      </c>
      <c r="E6" s="23" t="s">
        <v>51</v>
      </c>
    </row>
    <row r="7" ht="105" customHeight="1" spans="1:8">
      <c r="A7" s="24"/>
      <c r="B7" s="25" t="s">
        <v>52</v>
      </c>
      <c r="C7" s="4"/>
      <c r="D7" s="22" t="s">
        <v>53</v>
      </c>
      <c r="E7" s="26" t="s">
        <v>54</v>
      </c>
    </row>
    <row r="8" ht="15.75" spans="1:8">
      <c r="A8" s="24" t="s">
        <v>12</v>
      </c>
      <c r="B8" s="27" t="s">
        <v>55</v>
      </c>
      <c r="C8" s="4"/>
      <c r="D8" s="4"/>
      <c r="E8" s="28"/>
    </row>
    <row r="9" ht="15.75" spans="1:8">
      <c r="A9" s="24" t="s">
        <v>14</v>
      </c>
      <c r="B9" s="29" t="s">
        <v>56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27</v>
      </c>
      <c r="E10" s="33" t="s">
        <v>28</v>
      </c>
      <c r="H10" s="34"/>
    </row>
    <row r="11" s="4" customFormat="1" ht="65" customHeight="1" spans="1:8">
      <c r="A11" s="35" t="s">
        <v>20</v>
      </c>
      <c r="B11" s="36" t="s">
        <v>57</v>
      </c>
      <c r="C11" s="37">
        <v>1</v>
      </c>
      <c r="D11" s="38">
        <v>-208.05</v>
      </c>
      <c r="E11" s="39">
        <f>(D11)</f>
        <v>-208.05</v>
      </c>
    </row>
    <row r="12" ht="21" customHeight="1" spans="1:8">
      <c r="A12" s="40" t="s">
        <v>22</v>
      </c>
      <c r="B12" s="41"/>
      <c r="C12" s="42"/>
      <c r="D12" s="42"/>
      <c r="E12" s="43">
        <f>E11</f>
        <v>-208.05</v>
      </c>
    </row>
    <row r="13" ht="15.75" spans="1:8">
      <c r="A13" s="24" t="s">
        <v>58</v>
      </c>
      <c r="B13" s="44"/>
      <c r="C13" s="44"/>
      <c r="D13" s="44"/>
      <c r="E13" s="45"/>
    </row>
    <row r="14" ht="12" customHeight="1" spans="1:8">
      <c r="A14" s="46"/>
      <c r="E14" s="28"/>
    </row>
    <row r="15" ht="13" customHeight="1" spans="1:8">
      <c r="A15" s="46"/>
      <c r="E15" s="28"/>
    </row>
    <row r="16" ht="15.75" spans="1:8">
      <c r="A16" s="46"/>
      <c r="D16" s="47" t="s">
        <v>0</v>
      </c>
      <c r="E16" s="48"/>
    </row>
    <row r="17" spans="1:5">
      <c r="A17" s="46"/>
      <c r="E17" s="28"/>
    </row>
    <row r="18" ht="14.25" spans="1:5">
      <c r="A18" s="49"/>
      <c r="B18" s="50"/>
      <c r="C18" s="50"/>
      <c r="D18" s="50"/>
      <c r="E18" s="51"/>
    </row>
    <row r="19" spans="1:5">
      <c r="A19" s="52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D16:E16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7" sqref="B17:C19"/>
    </sheetView>
  </sheetViews>
  <sheetFormatPr defaultColWidth="9" defaultRowHeight="13.5" outlineLevelCol="2"/>
  <sheetData>
    <row r="1" spans="1:3">
      <c r="A1" t="s">
        <v>59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60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35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61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42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62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48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英国</vt:lpstr>
      <vt:lpstr>德国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2026-02-05T10:07:31Z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