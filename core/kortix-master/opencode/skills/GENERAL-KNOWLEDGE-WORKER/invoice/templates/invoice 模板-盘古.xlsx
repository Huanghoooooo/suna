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4"/>
  </bookViews>
  <sheets>
    <sheet name="英国" sheetId="3" r:id="rId1"/>
    <sheet name="德国" sheetId="9" r:id="rId2"/>
    <sheet name="法国" sheetId="8" r:id="rId3"/>
    <sheet name="意大利" sheetId="7" r:id="rId4"/>
    <sheet name="西班牙" sheetId="6" r:id="rId5"/>
    <sheet name="贷记单" sheetId="10" r:id="rId6"/>
  </sheets>
  <definedNames>
    <definedName name="_xlnm.Print_Area" localSheetId="0">英国!$A$1:$E$20</definedName>
    <definedName name="_xlnm.Print_Area" localSheetId="4">西班牙!$A$1:$E$20</definedName>
    <definedName name="_xlnm.Print_Area" localSheetId="3">意大利!$A$1:$E$20</definedName>
    <definedName name="_xlnm.Print_Area" localSheetId="2">法国!$A$1:$E$20</definedName>
    <definedName name="_xlnm.Print_Area" localSheetId="1">德国!$A$1:$E$21</definedName>
    <definedName name="_xlnm.Print_Area" localSheetId="5">贷记单!$A$1:$E$20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<sst xmlns="http://schemas.openxmlformats.org/spreadsheetml/2006/main" count="159" uniqueCount="66">
  <si>
    <t>Cheng du sheng shi pan gu guang gao you xian gong si</t>
  </si>
  <si>
    <t>48 Jingtuyu Road, Building 1, 5th Floor, Room 526</t>
  </si>
  <si>
    <t>shengshipangu@outlook.com</t>
  </si>
  <si>
    <t>COMMERCIAL INVOICE</t>
  </si>
  <si>
    <t>Customer information</t>
  </si>
  <si>
    <t>Invoice date:</t>
  </si>
  <si>
    <t>1,July,2024</t>
  </si>
  <si>
    <t>Tolson Family Law Ltd
Suite 5
14 Hagley Road
Stourbridge, West Midlands DY8 1PS</t>
  </si>
  <si>
    <t>order number:</t>
  </si>
  <si>
    <t xml:space="preserve"># 205-5701323-5933953 </t>
  </si>
  <si>
    <t>Invoice</t>
  </si>
  <si>
    <t>UK-004</t>
  </si>
  <si>
    <t>Delivery date</t>
  </si>
  <si>
    <t>28,June,2024</t>
  </si>
  <si>
    <t>Marks &amp; No.</t>
  </si>
  <si>
    <t>Description of goods</t>
  </si>
  <si>
    <t>Quantity</t>
  </si>
  <si>
    <t>Unit price (GBP)</t>
  </si>
  <si>
    <t>Total Amount (GBP)</t>
  </si>
  <si>
    <t>N/M</t>
  </si>
  <si>
    <t>Kalopsia Paper Shredder Heavy Duty</t>
  </si>
  <si>
    <t>Total</t>
  </si>
  <si>
    <t>TOTAL AMOUNT: SAY GREAT BRITISH POUND TWO HUNDRED AND EIGHTY SIX ONLY.</t>
  </si>
  <si>
    <t>Net</t>
  </si>
  <si>
    <t>VAT 20%</t>
  </si>
  <si>
    <t xml:space="preserve">cheng du sheng shi pan gu guang gao you xian gong si    </t>
  </si>
  <si>
    <t>18,Dec,2025</t>
  </si>
  <si>
    <t>S &amp; O / Fr. FürstPOH25.T213
Justizvollzugsanstalt Düsseldorf
Oberhausener Str 30
Ratingen, 40472</t>
  </si>
  <si>
    <t># 305-4310106-2301141</t>
  </si>
  <si>
    <t>DE-059</t>
  </si>
  <si>
    <t>Unit price (EUR)</t>
  </si>
  <si>
    <t>Total Amount (EUR)</t>
  </si>
  <si>
    <t>Kalopsia Aktenvernichter Mikroschnitt: 1*1mm</t>
  </si>
  <si>
    <t>TOTAL AMOUNT: SAY EURO SIX HUNDRED AND SIXTY FOUR POINT SEVENTY FOUR ONLY.</t>
  </si>
  <si>
    <t>VAT 21%</t>
  </si>
  <si>
    <t xml:space="preserve">48 Jingtuyu Road, Building 1, 5th Floor, Room 526 </t>
  </si>
  <si>
    <t>10,Dec,2025</t>
  </si>
  <si>
    <t>Vincent MORIO
2 les roussets
Fay-de-Bretagne, 44130</t>
  </si>
  <si>
    <t># 171-4013974-9550719</t>
  </si>
  <si>
    <t>FR-012</t>
  </si>
  <si>
    <t>9,Dec,2025</t>
  </si>
  <si>
    <t>Kalopsia Déshumidificateur d'Air Électrique Professionnel: 80L/Jour</t>
  </si>
  <si>
    <t>TOTAL AMOUNT:SAY EURO EIGHT HUNDRED AND THIRTY SIX POINT SIX ONLY.</t>
  </si>
  <si>
    <t>14,Jan,2026</t>
  </si>
  <si>
    <t>Pietro Manzi
Via Torino 40
Cantalupa, Torino 10060</t>
  </si>
  <si>
    <t># 171-6571064-5021969</t>
  </si>
  <si>
    <t>IT-051</t>
  </si>
  <si>
    <t>Kalopsia Deumidificatore Casa Muffa Portatile: Professionale 80L/Giorno</t>
  </si>
  <si>
    <t>TOTAL AMOUNT:SAY EURO TWO HUNDRED AND NINETY THREE POINT FIFTY FIVE ONLY.</t>
  </si>
  <si>
    <t>VAT 22%</t>
  </si>
  <si>
    <t>12,Dec,2025</t>
  </si>
  <si>
    <t>Analiny Sofas Lda
Estrada Nacional 125, Terras Ruivas
Analiny Sofas
Loulé, Loule 8100-300</t>
  </si>
  <si>
    <t>#403-3377011-6974701</t>
  </si>
  <si>
    <t>ES-052</t>
  </si>
  <si>
    <t>11,Dec,2025</t>
  </si>
  <si>
    <t>Kalopsia Deshumidificador de Humedad Eléctrico: 80L/Día</t>
  </si>
  <si>
    <t>TOTAL AMOUNT:SAY EURO TWO HUNDRED AND SIXTY TWO POINT SIXTY FIVE ONLY.</t>
  </si>
  <si>
    <t>CREDIT NOTE</t>
  </si>
  <si>
    <t>To</t>
  </si>
  <si>
    <t>12,Jan,2026</t>
  </si>
  <si>
    <t>ALCOBENDAS, MADRID 28108</t>
  </si>
  <si>
    <t>#171-9436956-6089945</t>
  </si>
  <si>
    <t>ES-022 credit note</t>
  </si>
  <si>
    <t>10,Oct,2025</t>
  </si>
  <si>
    <t>Kalopsia Destructora de Papel Profesional: 200 Hojas</t>
  </si>
  <si>
    <t>TOTAL AMOUNT: SAY EURO MINUS THREE HUNDRED AND SIXTY POINT ZERO FIVE ONLY.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</si>
</sst>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dd\-mmm\-yy"/>
  </numFmts>
  <fonts count="3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2"/>
      <color theme="1"/>
      <name val="Arial Black"/>
      <charset val="134"/>
    </font>
    <font>
      <sz val="14"/>
      <color theme="1"/>
      <name val="Times New Roman"/>
      <charset val="134"/>
    </font>
    <font>
      <sz val="14"/>
      <name val="Times New Roman"/>
      <charset val="0"/>
    </font>
    <font>
      <sz val="14"/>
      <name val="Times New Roman"/>
      <charset val="134"/>
    </font>
    <font>
      <sz val="20"/>
      <color theme="1"/>
      <name val="Arial Black"/>
      <charset val="134"/>
    </font>
    <font>
      <sz val="10.5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theme="1"/>
      <name val="Calibri"/>
      <charset val="134"/>
    </font>
    <font>
      <sz val="11"/>
      <color theme="1"/>
      <name val="Times New Roman"/>
      <charset val="134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26" applyNumberFormat="0" applyAlignment="0" applyProtection="0">
      <alignment vertical="center"/>
    </xf>
    <xf numFmtId="0" fontId="21" fillId="4" borderId="27" applyNumberFormat="0" applyAlignment="0" applyProtection="0">
      <alignment vertical="center"/>
    </xf>
    <xf numFmtId="0" fontId="22" fillId="4" borderId="26" applyNumberFormat="0" applyAlignment="0" applyProtection="0">
      <alignment vertical="center"/>
    </xf>
    <xf numFmtId="0" fontId="23" fillId="5" borderId="28" applyNumberFormat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5" fillId="0" borderId="30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88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4" xfId="6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4" xfId="0" applyFont="1" applyBorder="1" applyAlignment="1">
      <alignment horizontal="justify" vertical="center"/>
    </xf>
    <xf numFmtId="0" fontId="0" fillId="0" borderId="0" xfId="0" applyFont="1" applyAlignment="1">
      <alignment vertical="center" wrapText="1"/>
    </xf>
    <xf numFmtId="0" fontId="0" fillId="0" borderId="5" xfId="0" applyBorder="1">
      <alignment vertical="center"/>
    </xf>
    <xf numFmtId="0" fontId="8" fillId="0" borderId="4" xfId="0" applyFont="1" applyBorder="1" applyAlignment="1">
      <alignment horizontal="justify" vertical="center"/>
    </xf>
    <xf numFmtId="0" fontId="9" fillId="0" borderId="0" xfId="0" applyFont="1" applyBorder="1">
      <alignment vertical="center"/>
    </xf>
    <xf numFmtId="0" fontId="8" fillId="0" borderId="0" xfId="0" applyFont="1" applyBorder="1">
      <alignment vertical="center"/>
    </xf>
    <xf numFmtId="0" fontId="9" fillId="0" borderId="5" xfId="0" applyFont="1" applyBorder="1">
      <alignment vertical="center"/>
    </xf>
    <xf numFmtId="0" fontId="0" fillId="0" borderId="4" xfId="0" applyBorder="1">
      <alignment vertical="center"/>
    </xf>
    <xf numFmtId="0" fontId="9" fillId="0" borderId="0" xfId="0" applyFont="1" applyBorder="1" applyAlignment="1">
      <alignment vertical="top" wrapText="1"/>
    </xf>
    <xf numFmtId="0" fontId="1" fillId="0" borderId="0" xfId="0" applyFont="1" applyBorder="1">
      <alignment vertical="center"/>
    </xf>
    <xf numFmtId="0" fontId="9" fillId="0" borderId="5" xfId="0" applyFont="1" applyBorder="1" applyAlignment="1">
      <alignment vertical="center" wrapText="1"/>
    </xf>
    <xf numFmtId="0" fontId="8" fillId="0" borderId="4" xfId="0" applyFont="1" applyBorder="1">
      <alignment vertical="center"/>
    </xf>
    <xf numFmtId="0" fontId="9" fillId="0" borderId="0" xfId="0" applyFont="1" applyFill="1" applyAlignment="1">
      <alignment horizontal="left" vertical="center"/>
    </xf>
    <xf numFmtId="0" fontId="0" fillId="0" borderId="0" xfId="0" applyFont="1">
      <alignment vertical="center"/>
    </xf>
    <xf numFmtId="0" fontId="8" fillId="0" borderId="6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>
      <alignment vertical="center"/>
    </xf>
    <xf numFmtId="0" fontId="8" fillId="0" borderId="10" xfId="0" applyFont="1" applyBorder="1">
      <alignment vertical="center"/>
    </xf>
    <xf numFmtId="0" fontId="0" fillId="0" borderId="7" xfId="0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11" fillId="0" borderId="0" xfId="0" applyFont="1" applyAlignment="1">
      <alignment vertical="center"/>
    </xf>
    <xf numFmtId="0" fontId="11" fillId="0" borderId="5" xfId="0" applyFont="1" applyBorder="1" applyAlignment="1">
      <alignment vertical="center"/>
    </xf>
    <xf numFmtId="0" fontId="1" fillId="0" borderId="4" xfId="0" applyFont="1" applyBorder="1">
      <alignment vertical="center"/>
    </xf>
    <xf numFmtId="176" fontId="1" fillId="0" borderId="0" xfId="0" applyNumberFormat="1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5" xfId="0" applyFont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/>
    </xf>
    <xf numFmtId="0" fontId="4" fillId="0" borderId="17" xfId="6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justify" vertical="center"/>
    </xf>
    <xf numFmtId="0" fontId="0" fillId="0" borderId="18" xfId="0" applyBorder="1">
      <alignment vertical="center"/>
    </xf>
    <xf numFmtId="0" fontId="8" fillId="0" borderId="17" xfId="0" applyFont="1" applyBorder="1" applyAlignment="1">
      <alignment horizontal="justify" vertical="center"/>
    </xf>
    <xf numFmtId="0" fontId="0" fillId="0" borderId="17" xfId="0" applyBorder="1">
      <alignment vertical="center"/>
    </xf>
    <xf numFmtId="0" fontId="9" fillId="0" borderId="18" xfId="0" applyFont="1" applyBorder="1" applyAlignment="1">
      <alignment vertical="center" wrapText="1"/>
    </xf>
    <xf numFmtId="0" fontId="8" fillId="0" borderId="17" xfId="0" applyFont="1" applyBorder="1">
      <alignment vertic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8" fillId="0" borderId="19" xfId="0" applyFont="1" applyBorder="1">
      <alignment vertical="center"/>
    </xf>
    <xf numFmtId="0" fontId="9" fillId="0" borderId="17" xfId="0" applyFont="1" applyBorder="1">
      <alignment vertical="center"/>
    </xf>
    <xf numFmtId="0" fontId="9" fillId="0" borderId="18" xfId="0" applyFont="1" applyBorder="1">
      <alignment vertical="center"/>
    </xf>
    <xf numFmtId="0" fontId="11" fillId="0" borderId="18" xfId="0" applyFont="1" applyBorder="1">
      <alignment vertical="center"/>
    </xf>
    <xf numFmtId="0" fontId="11" fillId="0" borderId="18" xfId="0" applyFont="1" applyBorder="1" applyAlignment="1">
      <alignment vertical="center"/>
    </xf>
    <xf numFmtId="0" fontId="1" fillId="0" borderId="17" xfId="0" applyFont="1" applyBorder="1">
      <alignment vertical="center"/>
    </xf>
    <xf numFmtId="0" fontId="0" fillId="0" borderId="18" xfId="0" applyBorder="1" applyAlignment="1">
      <alignment vertical="center"/>
    </xf>
    <xf numFmtId="0" fontId="8" fillId="0" borderId="18" xfId="0" applyFont="1" applyBorder="1" applyAlignment="1">
      <alignment horizontal="right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8" fillId="0" borderId="4" xfId="0" applyFont="1" applyBorder="1" applyAlignment="1">
      <alignment horizontal="left" vertical="center"/>
    </xf>
    <xf numFmtId="177" fontId="9" fillId="0" borderId="0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mailto:shengshipangu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zoomScale="85" zoomScaleNormal="85" workbookViewId="0">
      <selection activeCell="N18" sqref="N18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3" t="s">
        <v>0</v>
      </c>
      <c r="B1" s="4"/>
      <c r="C1" s="4"/>
      <c r="D1" s="4"/>
      <c r="E1" s="5"/>
    </row>
    <row r="2" ht="20" customHeight="1" spans="1:7">
      <c r="A2" s="6" t="s">
        <v>1</v>
      </c>
      <c r="B2" s="7"/>
      <c r="C2" s="7"/>
      <c r="D2" s="7"/>
      <c r="E2" s="8"/>
    </row>
    <row r="3" ht="20" customHeight="1" spans="1:7">
      <c r="A3" s="9" t="s">
        <v>2</v>
      </c>
      <c r="B3" s="10"/>
      <c r="C3" s="10"/>
      <c r="D3" s="10"/>
      <c r="E3" s="11"/>
    </row>
    <row r="4" ht="31.5" spans="1:7">
      <c r="A4" s="12" t="s">
        <v>3</v>
      </c>
      <c r="B4" s="13"/>
      <c r="C4" s="13"/>
      <c r="D4" s="13"/>
      <c r="E4" s="14"/>
    </row>
    <row r="5" ht="14" customHeight="1" spans="1:7">
      <c r="A5" s="12"/>
      <c r="B5" s="13"/>
      <c r="C5" s="13"/>
      <c r="D5" s="13"/>
      <c r="E5" s="14"/>
    </row>
    <row r="6" spans="1:7">
      <c r="A6" s="15"/>
      <c r="B6" s="16"/>
      <c r="E6" s="17"/>
    </row>
    <row r="7" ht="15.75" spans="1:7">
      <c r="A7" s="18" t="s">
        <v>4</v>
      </c>
      <c r="B7" s="19"/>
      <c r="D7" s="20" t="s">
        <v>5</v>
      </c>
      <c r="E7" s="21" t="s">
        <v>6</v>
      </c>
    </row>
    <row r="8" ht="118" customHeight="1" spans="1:7">
      <c r="A8" s="22"/>
      <c r="B8" s="23" t="s">
        <v>7</v>
      </c>
      <c r="C8" s="24"/>
      <c r="D8" s="20" t="s">
        <v>8</v>
      </c>
      <c r="E8" s="25" t="s">
        <v>9</v>
      </c>
      <c r="F8" s="1"/>
      <c r="G8" s="1"/>
    </row>
    <row r="9" s="1" customFormat="1" ht="15" customHeight="1" spans="1:7">
      <c r="A9" s="26" t="s">
        <v>10</v>
      </c>
      <c r="B9" s="27" t="s">
        <v>11</v>
      </c>
      <c r="E9" s="17"/>
    </row>
    <row r="10" ht="15" customHeight="1" spans="1:7">
      <c r="A10" s="26" t="s">
        <v>12</v>
      </c>
      <c r="B10" s="87" t="s">
        <v>13</v>
      </c>
      <c r="C10" s="1"/>
      <c r="D10" s="28"/>
      <c r="E10" s="17"/>
    </row>
    <row r="11" s="2" customFormat="1" ht="20" customHeight="1" spans="1:7">
      <c r="A11" s="29" t="s">
        <v>14</v>
      </c>
      <c r="B11" s="30" t="s">
        <v>15</v>
      </c>
      <c r="C11" s="30" t="s">
        <v>16</v>
      </c>
      <c r="D11" s="30" t="s">
        <v>17</v>
      </c>
      <c r="E11" s="31" t="s">
        <v>18</v>
      </c>
    </row>
    <row r="12" ht="51" customHeight="1" spans="1:7">
      <c r="A12" s="32" t="s">
        <v>19</v>
      </c>
      <c r="B12" s="33" t="s">
        <v>20</v>
      </c>
      <c r="C12" s="34">
        <v>1</v>
      </c>
      <c r="D12" s="35">
        <v>336</v>
      </c>
      <c r="E12" s="35">
        <v>286</v>
      </c>
    </row>
    <row r="13" ht="22.95" customHeight="1" spans="1:7">
      <c r="A13" s="37" t="s">
        <v>21</v>
      </c>
      <c r="B13" s="38"/>
      <c r="C13" s="39"/>
      <c r="D13" s="39"/>
      <c r="E13" s="36">
        <f>E12</f>
        <v>286</v>
      </c>
    </row>
    <row r="14" ht="15.75" spans="1:7">
      <c r="A14" s="40" t="s">
        <v>22</v>
      </c>
      <c r="B14" s="41"/>
      <c r="C14" s="41"/>
      <c r="D14" s="41"/>
      <c r="E14" s="21"/>
    </row>
    <row r="15" ht="15" customHeight="1" spans="1:7">
      <c r="A15" s="40" t="s">
        <v>23</v>
      </c>
      <c r="B15" s="42">
        <f>E12/(1+0.2)</f>
        <v>238.333333333333</v>
      </c>
      <c r="C15" s="43"/>
      <c r="D15" s="43"/>
      <c r="E15" s="44"/>
    </row>
    <row r="16" ht="15" customHeight="1" spans="1:7">
      <c r="A16" s="40" t="s">
        <v>24</v>
      </c>
      <c r="B16" s="42">
        <f>B15*0.21</f>
        <v>50.05</v>
      </c>
      <c r="C16" s="43"/>
      <c r="D16" s="43"/>
      <c r="E16" s="44"/>
    </row>
    <row r="17" ht="15" customHeight="1" spans="1:5">
      <c r="A17" s="40" t="s">
        <v>21</v>
      </c>
      <c r="B17" s="42">
        <f>B15+B16</f>
        <v>288.383333333333</v>
      </c>
      <c r="C17" s="45"/>
      <c r="D17" s="45"/>
      <c r="E17" s="46"/>
    </row>
    <row r="18" ht="15" customHeight="1" spans="1:5">
      <c r="A18" s="47"/>
      <c r="B18" s="48"/>
      <c r="C18" s="56"/>
      <c r="D18" s="56"/>
      <c r="E18" s="57"/>
    </row>
    <row r="19" ht="17" customHeight="1" spans="1:5">
      <c r="A19" s="47"/>
      <c r="B19" s="2"/>
      <c r="C19" s="49" t="s">
        <v>25</v>
      </c>
      <c r="D19" s="49"/>
      <c r="E19" s="50"/>
    </row>
    <row r="20" ht="14.25" spans="1:5">
      <c r="A20" s="53"/>
      <c r="B20" s="54"/>
      <c r="C20" s="54"/>
      <c r="D20" s="54"/>
      <c r="E20" s="55"/>
    </row>
  </sheetData>
  <mergeCells count="7">
    <mergeCell ref="A1:E1"/>
    <mergeCell ref="A2:E2"/>
    <mergeCell ref="A3:E3"/>
    <mergeCell ref="A4:E4"/>
    <mergeCell ref="A13:B13"/>
    <mergeCell ref="A14:E14"/>
    <mergeCell ref="C19:E19"/>
  </mergeCells>
  <hyperlinks>
    <hyperlink ref="A3" r:id="rId1" display="shengshipangu@outlook.com"/>
  </hyperlinks>
  <pageMargins left="0.75" right="0.75" top="1" bottom="1" header="0.5" footer="0.5"/>
  <pageSetup paperSize="9" scale="8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1"/>
  <sheetViews>
    <sheetView zoomScale="85" zoomScaleNormal="85" workbookViewId="0">
      <selection activeCell="K14" sqref="K14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3" t="s">
        <v>0</v>
      </c>
      <c r="B1" s="4"/>
      <c r="C1" s="4"/>
      <c r="D1" s="4"/>
      <c r="E1" s="5"/>
    </row>
    <row r="2" ht="20" customHeight="1" spans="1:7">
      <c r="A2" s="6" t="s">
        <v>1</v>
      </c>
      <c r="B2" s="7"/>
      <c r="C2" s="7"/>
      <c r="D2" s="7"/>
      <c r="E2" s="8"/>
    </row>
    <row r="3" ht="20" customHeight="1" spans="1:7">
      <c r="A3" s="9" t="s">
        <v>2</v>
      </c>
      <c r="B3" s="10"/>
      <c r="C3" s="10"/>
      <c r="D3" s="10"/>
      <c r="E3" s="11"/>
    </row>
    <row r="4" ht="31.5" spans="1:7">
      <c r="A4" s="12" t="s">
        <v>3</v>
      </c>
      <c r="B4" s="13"/>
      <c r="C4" s="13"/>
      <c r="D4" s="13"/>
      <c r="E4" s="14"/>
    </row>
    <row r="5" ht="14" customHeight="1" spans="1:7">
      <c r="A5" s="12"/>
      <c r="B5" s="13"/>
      <c r="C5" s="13"/>
      <c r="D5" s="13"/>
      <c r="E5" s="14"/>
    </row>
    <row r="6" ht="14" customHeight="1" spans="1:7">
      <c r="A6" s="86"/>
      <c r="B6" s="13"/>
      <c r="C6" s="13"/>
      <c r="D6" s="13"/>
      <c r="E6" s="14"/>
    </row>
    <row r="7" spans="1:7">
      <c r="A7" s="15"/>
      <c r="B7" s="16"/>
      <c r="E7" s="17"/>
    </row>
    <row r="8" ht="15.75" spans="1:7">
      <c r="A8" s="18" t="s">
        <v>4</v>
      </c>
      <c r="B8" s="19"/>
      <c r="D8" s="20" t="s">
        <v>5</v>
      </c>
      <c r="E8" s="21" t="s">
        <v>26</v>
      </c>
    </row>
    <row r="9" ht="118" customHeight="1" spans="1:7">
      <c r="A9" s="22"/>
      <c r="B9" s="23" t="s">
        <v>27</v>
      </c>
      <c r="C9" s="24"/>
      <c r="D9" s="20" t="s">
        <v>8</v>
      </c>
      <c r="E9" s="25" t="s">
        <v>28</v>
      </c>
      <c r="F9" s="1"/>
      <c r="G9" s="1"/>
    </row>
    <row r="10" s="1" customFormat="1" ht="15" customHeight="1" spans="1:7">
      <c r="A10" s="26" t="s">
        <v>10</v>
      </c>
      <c r="B10" s="27" t="s">
        <v>29</v>
      </c>
      <c r="E10" s="17"/>
    </row>
    <row r="11" ht="15" customHeight="1" spans="1:7">
      <c r="A11" s="26" t="s">
        <v>12</v>
      </c>
      <c r="B11" s="21" t="s">
        <v>26</v>
      </c>
      <c r="C11" s="1"/>
      <c r="D11" s="28"/>
      <c r="E11" s="17"/>
    </row>
    <row r="12" s="2" customFormat="1" ht="20" customHeight="1" spans="1:7">
      <c r="A12" s="29" t="s">
        <v>14</v>
      </c>
      <c r="B12" s="30" t="s">
        <v>15</v>
      </c>
      <c r="C12" s="30" t="s">
        <v>16</v>
      </c>
      <c r="D12" s="30" t="s">
        <v>30</v>
      </c>
      <c r="E12" s="31" t="s">
        <v>31</v>
      </c>
    </row>
    <row r="13" ht="51" customHeight="1" spans="1:7">
      <c r="A13" s="32" t="s">
        <v>19</v>
      </c>
      <c r="B13" s="33" t="s">
        <v>32</v>
      </c>
      <c r="C13" s="34">
        <v>2</v>
      </c>
      <c r="D13" s="35">
        <v>332.37</v>
      </c>
      <c r="E13" s="36">
        <v>664.74</v>
      </c>
    </row>
    <row r="14" ht="22.95" customHeight="1" spans="1:7">
      <c r="A14" s="37" t="s">
        <v>21</v>
      </c>
      <c r="B14" s="38"/>
      <c r="C14" s="39"/>
      <c r="D14" s="39"/>
      <c r="E14" s="36">
        <f>E13</f>
        <v>664.74</v>
      </c>
    </row>
    <row r="15" ht="15.75" spans="1:7">
      <c r="A15" s="40" t="s">
        <v>33</v>
      </c>
      <c r="B15" s="41"/>
      <c r="C15" s="41"/>
      <c r="D15" s="41"/>
      <c r="E15" s="21"/>
    </row>
    <row r="16" ht="15" customHeight="1" spans="1:7">
      <c r="A16" s="40" t="s">
        <v>23</v>
      </c>
      <c r="B16" s="42">
        <f>E13/(1+0.21)</f>
        <v>549.371900826446</v>
      </c>
      <c r="C16" s="43"/>
      <c r="D16" s="43"/>
      <c r="E16" s="44"/>
    </row>
    <row r="17" ht="15" customHeight="1" spans="1:5">
      <c r="A17" s="40" t="s">
        <v>34</v>
      </c>
      <c r="B17" s="42">
        <f>B16*0.21</f>
        <v>115.368099173554</v>
      </c>
      <c r="C17" s="43"/>
      <c r="D17" s="43"/>
      <c r="E17" s="44"/>
    </row>
    <row r="18" ht="15" customHeight="1" spans="1:5">
      <c r="A18" s="40" t="s">
        <v>21</v>
      </c>
      <c r="B18" s="42">
        <f>B16+B17</f>
        <v>664.74</v>
      </c>
      <c r="C18" s="45"/>
      <c r="D18" s="45"/>
      <c r="E18" s="46"/>
    </row>
    <row r="19" ht="15" customHeight="1" spans="1:5">
      <c r="A19" s="47"/>
      <c r="B19" s="48"/>
      <c r="C19" s="56"/>
      <c r="D19" s="56"/>
      <c r="E19" s="57"/>
    </row>
    <row r="20" ht="17" customHeight="1" spans="1:5">
      <c r="A20" s="47"/>
      <c r="B20" s="2"/>
      <c r="C20" s="49" t="s">
        <v>25</v>
      </c>
      <c r="D20" s="49"/>
      <c r="E20" s="50"/>
    </row>
    <row r="21" ht="14.25" spans="1:5">
      <c r="A21" s="53"/>
      <c r="B21" s="54"/>
      <c r="C21" s="54"/>
      <c r="D21" s="54"/>
      <c r="E21" s="55"/>
    </row>
  </sheetData>
  <mergeCells count="7">
    <mergeCell ref="A1:E1"/>
    <mergeCell ref="A2:E2"/>
    <mergeCell ref="A3:E3"/>
    <mergeCell ref="A4:E4"/>
    <mergeCell ref="A14:B14"/>
    <mergeCell ref="A15:E15"/>
    <mergeCell ref="C20:E20"/>
  </mergeCells>
  <hyperlinks>
    <hyperlink ref="A3" r:id="rId1" display="shengshipangu@outlook.com"/>
  </hyperlinks>
  <pageMargins left="0.75" right="0.75" top="1" bottom="1" header="0.5" footer="0.5"/>
  <pageSetup paperSize="9" scale="86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zoomScale="85" zoomScaleNormal="85" workbookViewId="0">
      <selection activeCell="C25" sqref="C25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58" t="s">
        <v>0</v>
      </c>
      <c r="B1" s="59"/>
      <c r="C1" s="59"/>
      <c r="D1" s="59"/>
      <c r="E1" s="60"/>
    </row>
    <row r="2" ht="20" customHeight="1" spans="1:7">
      <c r="A2" s="61" t="s">
        <v>35</v>
      </c>
      <c r="B2" s="7"/>
      <c r="C2" s="7"/>
      <c r="D2" s="7"/>
      <c r="E2" s="62"/>
    </row>
    <row r="3" ht="20" customHeight="1" spans="1:7">
      <c r="A3" s="63" t="s">
        <v>2</v>
      </c>
      <c r="B3" s="10"/>
      <c r="C3" s="10"/>
      <c r="D3" s="10"/>
      <c r="E3" s="64"/>
    </row>
    <row r="4" ht="31.5" spans="1:7">
      <c r="A4" s="65" t="s">
        <v>3</v>
      </c>
      <c r="B4" s="13"/>
      <c r="C4" s="13"/>
      <c r="D4" s="13"/>
      <c r="E4" s="66"/>
    </row>
    <row r="5" ht="14" customHeight="1" spans="1:7">
      <c r="A5" s="65"/>
      <c r="B5" s="13"/>
      <c r="C5" s="13"/>
      <c r="D5" s="13"/>
      <c r="E5" s="66"/>
    </row>
    <row r="6" spans="1:7">
      <c r="A6" s="67"/>
      <c r="B6" s="16"/>
      <c r="E6" s="68"/>
    </row>
    <row r="7" ht="15.75" spans="1:7">
      <c r="A7" s="69" t="s">
        <v>4</v>
      </c>
      <c r="B7" s="19"/>
      <c r="D7" s="20" t="s">
        <v>5</v>
      </c>
      <c r="E7" s="21" t="s">
        <v>36</v>
      </c>
    </row>
    <row r="8" ht="118" customHeight="1" spans="1:7">
      <c r="A8" s="70"/>
      <c r="B8" s="23" t="s">
        <v>37</v>
      </c>
      <c r="C8" s="24"/>
      <c r="D8" s="20" t="s">
        <v>8</v>
      </c>
      <c r="E8" s="71" t="s">
        <v>38</v>
      </c>
      <c r="F8" s="1"/>
      <c r="G8" s="1"/>
    </row>
    <row r="9" s="1" customFormat="1" ht="15" customHeight="1" spans="1:7">
      <c r="A9" s="72" t="s">
        <v>10</v>
      </c>
      <c r="B9" s="27" t="s">
        <v>39</v>
      </c>
      <c r="E9" s="68"/>
    </row>
    <row r="10" ht="15" customHeight="1" spans="1:7">
      <c r="A10" s="72" t="s">
        <v>12</v>
      </c>
      <c r="B10" s="21" t="s">
        <v>40</v>
      </c>
      <c r="C10" s="1"/>
      <c r="D10" s="28"/>
      <c r="E10" s="68"/>
    </row>
    <row r="11" s="2" customFormat="1" ht="20" customHeight="1" spans="1:7">
      <c r="A11" s="30" t="s">
        <v>14</v>
      </c>
      <c r="B11" s="30" t="s">
        <v>15</v>
      </c>
      <c r="C11" s="30" t="s">
        <v>16</v>
      </c>
      <c r="D11" s="30" t="s">
        <v>30</v>
      </c>
      <c r="E11" s="73" t="s">
        <v>31</v>
      </c>
    </row>
    <row r="12" ht="51" customHeight="1" spans="1:7">
      <c r="A12" s="74" t="s">
        <v>19</v>
      </c>
      <c r="B12" s="33" t="s">
        <v>41</v>
      </c>
      <c r="C12" s="34">
        <v>4</v>
      </c>
      <c r="D12" s="35">
        <v>209.15</v>
      </c>
      <c r="E12" s="35">
        <v>836.6</v>
      </c>
    </row>
    <row r="13" ht="22.95" customHeight="1" spans="1:7">
      <c r="A13" s="75" t="s">
        <v>21</v>
      </c>
      <c r="B13" s="38"/>
      <c r="C13" s="39"/>
      <c r="D13" s="39"/>
      <c r="E13" s="35">
        <f>E12</f>
        <v>836.6</v>
      </c>
    </row>
    <row r="14" ht="15.75" spans="1:7">
      <c r="A14" s="76" t="s">
        <v>42</v>
      </c>
      <c r="B14" s="41"/>
      <c r="C14" s="41"/>
      <c r="D14" s="41"/>
      <c r="E14" s="77"/>
    </row>
    <row r="15" ht="15" customHeight="1" spans="1:7">
      <c r="A15" s="76" t="s">
        <v>23</v>
      </c>
      <c r="B15" s="42">
        <f>E12/(1+0.2)</f>
        <v>697.166666666667</v>
      </c>
      <c r="C15" s="43"/>
      <c r="D15" s="43"/>
      <c r="E15" s="78"/>
    </row>
    <row r="16" ht="15" customHeight="1" spans="1:7">
      <c r="A16" s="76" t="s">
        <v>24</v>
      </c>
      <c r="B16" s="42">
        <f>B15*0.2</f>
        <v>139.433333333333</v>
      </c>
      <c r="C16" s="43"/>
      <c r="D16" s="43"/>
      <c r="E16" s="78"/>
    </row>
    <row r="17" ht="15" customHeight="1" spans="1:5">
      <c r="A17" s="76" t="s">
        <v>21</v>
      </c>
      <c r="B17" s="42">
        <f>B15+B16</f>
        <v>836.6</v>
      </c>
      <c r="C17" s="45"/>
      <c r="D17" s="45"/>
      <c r="E17" s="79"/>
    </row>
    <row r="18" ht="15" customHeight="1" spans="1:5">
      <c r="A18" s="80"/>
      <c r="B18" s="48"/>
      <c r="C18" s="56"/>
      <c r="D18" s="56"/>
      <c r="E18" s="81"/>
    </row>
    <row r="19" ht="17" customHeight="1" spans="1:5">
      <c r="A19" s="80"/>
      <c r="B19" s="2"/>
      <c r="C19" s="49" t="s">
        <v>25</v>
      </c>
      <c r="D19" s="49"/>
      <c r="E19" s="82"/>
    </row>
    <row r="20" spans="1:5">
      <c r="A20" s="83"/>
      <c r="B20" s="84"/>
      <c r="C20" s="84"/>
      <c r="D20" s="84"/>
      <c r="E20" s="85"/>
    </row>
  </sheetData>
  <mergeCells count="7">
    <mergeCell ref="A1:E1"/>
    <mergeCell ref="A2:E2"/>
    <mergeCell ref="A3:E3"/>
    <mergeCell ref="A4:E4"/>
    <mergeCell ref="A13:B13"/>
    <mergeCell ref="A14:E14"/>
    <mergeCell ref="C19:E19"/>
  </mergeCells>
  <hyperlinks>
    <hyperlink ref="A3" r:id="rId1" display="shengshipangu@outlook.com"/>
  </hyperlinks>
  <pageMargins left="0.75" right="0.75" top="1" bottom="1" header="0.5" footer="0.5"/>
  <pageSetup paperSize="9" scale="88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zoomScale="85" zoomScaleNormal="85" workbookViewId="0">
      <selection activeCell="N15" sqref="N15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3" t="s">
        <v>0</v>
      </c>
      <c r="B1" s="4"/>
      <c r="C1" s="4"/>
      <c r="D1" s="4"/>
      <c r="E1" s="5"/>
    </row>
    <row r="2" ht="20" customHeight="1" spans="1:7">
      <c r="A2" s="6" t="s">
        <v>1</v>
      </c>
      <c r="B2" s="7"/>
      <c r="C2" s="7"/>
      <c r="D2" s="7"/>
      <c r="E2" s="8"/>
    </row>
    <row r="3" ht="20" customHeight="1" spans="1:7">
      <c r="A3" s="9" t="s">
        <v>2</v>
      </c>
      <c r="B3" s="10"/>
      <c r="C3" s="10"/>
      <c r="D3" s="10"/>
      <c r="E3" s="11"/>
    </row>
    <row r="4" ht="31.5" spans="1:7">
      <c r="A4" s="12" t="s">
        <v>3</v>
      </c>
      <c r="B4" s="13"/>
      <c r="C4" s="13"/>
      <c r="D4" s="13"/>
      <c r="E4" s="14"/>
    </row>
    <row r="5" ht="14" customHeight="1" spans="1:7">
      <c r="A5" s="12"/>
      <c r="B5" s="13"/>
      <c r="C5" s="13"/>
      <c r="D5" s="13"/>
      <c r="E5" s="14"/>
    </row>
    <row r="6" spans="1:7">
      <c r="A6" s="15"/>
      <c r="B6" s="16"/>
      <c r="E6" s="17"/>
    </row>
    <row r="7" ht="15.75" spans="1:7">
      <c r="A7" s="18" t="s">
        <v>4</v>
      </c>
      <c r="B7" s="19"/>
      <c r="D7" s="20" t="s">
        <v>5</v>
      </c>
      <c r="E7" s="21" t="s">
        <v>43</v>
      </c>
    </row>
    <row r="8" ht="135" customHeight="1" spans="1:7">
      <c r="A8" s="22"/>
      <c r="B8" s="23" t="s">
        <v>44</v>
      </c>
      <c r="C8" s="24"/>
      <c r="D8" s="20" t="s">
        <v>8</v>
      </c>
      <c r="E8" s="25" t="s">
        <v>45</v>
      </c>
      <c r="F8" s="1"/>
      <c r="G8" s="1"/>
    </row>
    <row r="9" s="1" customFormat="1" ht="15" customHeight="1" spans="1:7">
      <c r="A9" s="26" t="s">
        <v>10</v>
      </c>
      <c r="B9" s="27" t="s">
        <v>46</v>
      </c>
      <c r="E9" s="17"/>
    </row>
    <row r="10" ht="15" customHeight="1" spans="1:7">
      <c r="A10" s="26" t="s">
        <v>12</v>
      </c>
      <c r="B10" s="21" t="s">
        <v>36</v>
      </c>
      <c r="C10" s="1"/>
      <c r="D10" s="28"/>
      <c r="E10" s="17"/>
    </row>
    <row r="11" s="2" customFormat="1" ht="20" customHeight="1" spans="1:7">
      <c r="A11" s="29" t="s">
        <v>14</v>
      </c>
      <c r="B11" s="30" t="s">
        <v>15</v>
      </c>
      <c r="C11" s="30" t="s">
        <v>16</v>
      </c>
      <c r="D11" s="30" t="s">
        <v>30</v>
      </c>
      <c r="E11" s="31" t="s">
        <v>31</v>
      </c>
    </row>
    <row r="12" ht="51" customHeight="1" spans="1:7">
      <c r="A12" s="32" t="s">
        <v>19</v>
      </c>
      <c r="B12" s="33" t="s">
        <v>47</v>
      </c>
      <c r="C12" s="34">
        <v>1</v>
      </c>
      <c r="D12" s="35">
        <v>293.55</v>
      </c>
      <c r="E12" s="36">
        <v>293.55</v>
      </c>
    </row>
    <row r="13" ht="22.95" customHeight="1" spans="1:7">
      <c r="A13" s="37" t="s">
        <v>21</v>
      </c>
      <c r="B13" s="38"/>
      <c r="C13" s="39"/>
      <c r="D13" s="39"/>
      <c r="E13" s="36">
        <f>E12</f>
        <v>293.55</v>
      </c>
    </row>
    <row r="14" ht="15.75" spans="1:7">
      <c r="A14" s="40" t="s">
        <v>48</v>
      </c>
      <c r="B14" s="41"/>
      <c r="C14" s="41"/>
      <c r="D14" s="41"/>
      <c r="E14" s="21"/>
    </row>
    <row r="15" ht="15" customHeight="1" spans="1:7">
      <c r="A15" s="40" t="s">
        <v>23</v>
      </c>
      <c r="B15" s="42">
        <f>E12/(1+0.22)</f>
        <v>240.614754098361</v>
      </c>
      <c r="C15" s="43"/>
      <c r="D15" s="43"/>
      <c r="E15" s="44"/>
    </row>
    <row r="16" ht="15" customHeight="1" spans="1:7">
      <c r="A16" s="40" t="s">
        <v>49</v>
      </c>
      <c r="B16" s="42">
        <f>B15*0.22</f>
        <v>52.9352459016393</v>
      </c>
      <c r="C16" s="43"/>
      <c r="D16" s="43"/>
      <c r="E16" s="44"/>
    </row>
    <row r="17" ht="15" customHeight="1" spans="1:5">
      <c r="A17" s="40" t="s">
        <v>21</v>
      </c>
      <c r="B17" s="42">
        <f>B15+B16</f>
        <v>293.55</v>
      </c>
      <c r="C17" s="45"/>
      <c r="D17" s="45"/>
      <c r="E17" s="46"/>
    </row>
    <row r="18" ht="15" customHeight="1" spans="1:5">
      <c r="A18" s="47"/>
      <c r="B18" s="48"/>
      <c r="C18" s="56"/>
      <c r="D18" s="56"/>
      <c r="E18" s="57"/>
    </row>
    <row r="19" ht="17" customHeight="1" spans="1:5">
      <c r="A19" s="47"/>
      <c r="B19" s="2"/>
      <c r="C19" s="49" t="s">
        <v>25</v>
      </c>
      <c r="D19" s="49"/>
      <c r="E19" s="50"/>
    </row>
    <row r="20" ht="14.25" spans="1:5">
      <c r="A20" s="53"/>
      <c r="B20" s="54"/>
      <c r="C20" s="54"/>
      <c r="D20" s="54"/>
      <c r="E20" s="55"/>
    </row>
  </sheetData>
  <mergeCells count="7">
    <mergeCell ref="A1:E1"/>
    <mergeCell ref="A2:E2"/>
    <mergeCell ref="A3:E3"/>
    <mergeCell ref="A4:E4"/>
    <mergeCell ref="A13:B13"/>
    <mergeCell ref="A14:E14"/>
    <mergeCell ref="C19:E19"/>
  </mergeCells>
  <hyperlinks>
    <hyperlink ref="A3" r:id="rId1" display="shengshipangu@outlook.com"/>
  </hyperlinks>
  <pageMargins left="0.75" right="0.75" top="1" bottom="1" header="0.5" footer="0.5"/>
  <pageSetup paperSize="9" scale="85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tabSelected="1" zoomScale="80" zoomScaleNormal="80" workbookViewId="0">
      <selection activeCell="L12" sqref="L12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3" t="s">
        <v>0</v>
      </c>
      <c r="B1" s="4"/>
      <c r="C1" s="4"/>
      <c r="D1" s="4"/>
      <c r="E1" s="5"/>
    </row>
    <row r="2" ht="20" customHeight="1" spans="1:7">
      <c r="A2" s="6" t="s">
        <v>35</v>
      </c>
      <c r="B2" s="7"/>
      <c r="C2" s="7"/>
      <c r="D2" s="7"/>
      <c r="E2" s="8"/>
    </row>
    <row r="3" ht="20" customHeight="1" spans="1:7">
      <c r="A3" s="9" t="s">
        <v>2</v>
      </c>
      <c r="B3" s="10"/>
      <c r="C3" s="10"/>
      <c r="D3" s="10"/>
      <c r="E3" s="11"/>
    </row>
    <row r="4" ht="31.5" spans="1:7">
      <c r="A4" s="12" t="s">
        <v>3</v>
      </c>
      <c r="B4" s="13"/>
      <c r="C4" s="13"/>
      <c r="D4" s="13"/>
      <c r="E4" s="14"/>
    </row>
    <row r="5" ht="14" customHeight="1" spans="1:7">
      <c r="A5" s="12"/>
      <c r="B5" s="13"/>
      <c r="C5" s="13"/>
      <c r="D5" s="13"/>
      <c r="E5" s="14"/>
    </row>
    <row r="6" spans="1:7">
      <c r="A6" s="15"/>
      <c r="B6" s="16"/>
      <c r="E6" s="17"/>
    </row>
    <row r="7" ht="15.75" spans="1:7">
      <c r="A7" s="18" t="s">
        <v>4</v>
      </c>
      <c r="B7" s="19"/>
      <c r="D7" s="20" t="s">
        <v>5</v>
      </c>
      <c r="E7" s="21" t="s">
        <v>50</v>
      </c>
    </row>
    <row r="8" ht="118" customHeight="1" spans="1:7">
      <c r="A8" s="22"/>
      <c r="B8" s="23" t="s">
        <v>51</v>
      </c>
      <c r="C8" s="24"/>
      <c r="D8" s="20" t="s">
        <v>8</v>
      </c>
      <c r="E8" s="25" t="s">
        <v>52</v>
      </c>
      <c r="F8" s="1"/>
      <c r="G8" s="1"/>
    </row>
    <row r="9" s="1" customFormat="1" ht="15" customHeight="1" spans="1:7">
      <c r="A9" s="26" t="s">
        <v>10</v>
      </c>
      <c r="B9" s="27" t="s">
        <v>53</v>
      </c>
      <c r="E9" s="17"/>
    </row>
    <row r="10" ht="15" customHeight="1" spans="1:7">
      <c r="A10" s="26" t="s">
        <v>12</v>
      </c>
      <c r="B10" s="21" t="s">
        <v>54</v>
      </c>
      <c r="C10" s="1"/>
      <c r="D10" s="28"/>
      <c r="E10" s="17"/>
    </row>
    <row r="11" s="2" customFormat="1" ht="20" customHeight="1" spans="1:7">
      <c r="A11" s="29" t="s">
        <v>14</v>
      </c>
      <c r="B11" s="30" t="s">
        <v>15</v>
      </c>
      <c r="C11" s="30" t="s">
        <v>16</v>
      </c>
      <c r="D11" s="30" t="s">
        <v>30</v>
      </c>
      <c r="E11" s="31" t="s">
        <v>31</v>
      </c>
    </row>
    <row r="12" ht="51" customHeight="1" spans="1:7">
      <c r="A12" s="32" t="s">
        <v>19</v>
      </c>
      <c r="B12" s="33" t="s">
        <v>55</v>
      </c>
      <c r="C12" s="34">
        <v>1</v>
      </c>
      <c r="D12" s="35">
        <v>262.65</v>
      </c>
      <c r="E12" s="36">
        <v>262.65</v>
      </c>
    </row>
    <row r="13" ht="22.95" customHeight="1" spans="1:7">
      <c r="A13" s="37" t="s">
        <v>21</v>
      </c>
      <c r="B13" s="38"/>
      <c r="C13" s="39"/>
      <c r="D13" s="39"/>
      <c r="E13" s="36">
        <f>E12</f>
        <v>262.65</v>
      </c>
    </row>
    <row r="14" ht="15.75" spans="1:7">
      <c r="A14" s="40" t="s">
        <v>56</v>
      </c>
      <c r="B14" s="41"/>
      <c r="C14" s="41"/>
      <c r="D14" s="41"/>
      <c r="E14" s="21"/>
    </row>
    <row r="15" ht="15" customHeight="1" spans="1:7">
      <c r="A15" s="40" t="s">
        <v>23</v>
      </c>
      <c r="B15" s="42">
        <f>E12/(1+0.21)</f>
        <v>217.066115702479</v>
      </c>
      <c r="C15" s="43"/>
      <c r="D15" s="43"/>
      <c r="E15" s="44"/>
    </row>
    <row r="16" ht="15" customHeight="1" spans="1:7">
      <c r="A16" s="40" t="s">
        <v>34</v>
      </c>
      <c r="B16" s="42">
        <f>B15*0.21</f>
        <v>45.5838842975207</v>
      </c>
      <c r="C16" s="43"/>
      <c r="D16" s="43"/>
      <c r="E16" s="44"/>
    </row>
    <row r="17" ht="15" customHeight="1" spans="1:5">
      <c r="A17" s="40" t="s">
        <v>21</v>
      </c>
      <c r="B17" s="42">
        <f>B15+B16</f>
        <v>262.65</v>
      </c>
      <c r="C17" s="45"/>
      <c r="D17" s="45"/>
      <c r="E17" s="46"/>
    </row>
    <row r="18" ht="15" customHeight="1" spans="1:5">
      <c r="A18" s="47"/>
      <c r="B18" s="48"/>
      <c r="C18" s="56"/>
      <c r="D18" s="56"/>
      <c r="E18" s="57"/>
    </row>
    <row r="19" ht="17" customHeight="1" spans="1:5">
      <c r="A19" s="47"/>
      <c r="B19" s="2"/>
      <c r="C19" s="49" t="s">
        <v>25</v>
      </c>
      <c r="D19" s="49"/>
      <c r="E19" s="50"/>
    </row>
    <row r="20" ht="14.25" spans="1:5">
      <c r="A20" s="53"/>
      <c r="B20" s="54"/>
      <c r="C20" s="54"/>
      <c r="D20" s="54"/>
      <c r="E20" s="55"/>
    </row>
  </sheetData>
  <mergeCells count="7">
    <mergeCell ref="A1:E1"/>
    <mergeCell ref="A2:E2"/>
    <mergeCell ref="A3:E3"/>
    <mergeCell ref="A4:E4"/>
    <mergeCell ref="A13:B13"/>
    <mergeCell ref="A14:E14"/>
    <mergeCell ref="C19:E19"/>
  </mergeCells>
  <hyperlinks>
    <hyperlink ref="A3" r:id="rId1" display="shengshipangu@outlook.com"/>
  </hyperlinks>
  <pageMargins left="0.75" right="0.75" top="1" bottom="1" header="0.5" footer="0.5"/>
  <pageSetup paperSize="9" scale="88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0"/>
  <sheetViews>
    <sheetView zoomScale="85" zoomScaleNormal="85" workbookViewId="0">
      <selection activeCell="P15" sqref="P15"/>
    </sheetView>
  </sheetViews>
  <sheetFormatPr defaultColWidth="8.66666666666667" defaultRowHeight="13.5" outlineLevelCol="6"/>
  <cols>
    <col min="1" max="1" width="23.775" customWidth="1"/>
    <col min="2" max="2" width="36.6916666666667" customWidth="1"/>
    <col min="3" max="4" width="23.775" customWidth="1"/>
    <col min="5" max="5" width="26.6083333333333" customWidth="1"/>
  </cols>
  <sheetData>
    <row r="1" ht="43.95" customHeight="1" spans="1:7">
      <c r="A1" s="3" t="s">
        <v>0</v>
      </c>
      <c r="B1" s="4"/>
      <c r="C1" s="4"/>
      <c r="D1" s="4"/>
      <c r="E1" s="5"/>
    </row>
    <row r="2" ht="20" customHeight="1" spans="1:7">
      <c r="A2" s="6" t="s">
        <v>1</v>
      </c>
      <c r="B2" s="7"/>
      <c r="C2" s="7"/>
      <c r="D2" s="7"/>
      <c r="E2" s="8"/>
    </row>
    <row r="3" ht="20" customHeight="1" spans="1:7">
      <c r="A3" s="9" t="s">
        <v>2</v>
      </c>
      <c r="B3" s="10"/>
      <c r="C3" s="10"/>
      <c r="D3" s="10"/>
      <c r="E3" s="11"/>
    </row>
    <row r="4" ht="31.5" spans="1:7">
      <c r="A4" s="12" t="s">
        <v>57</v>
      </c>
      <c r="B4" s="13"/>
      <c r="C4" s="13"/>
      <c r="D4" s="13"/>
      <c r="E4" s="14"/>
    </row>
    <row r="5" ht="14" customHeight="1" spans="1:7">
      <c r="A5" s="12"/>
      <c r="B5" s="13"/>
      <c r="C5" s="13"/>
      <c r="D5" s="13"/>
      <c r="E5" s="14"/>
    </row>
    <row r="6" spans="1:7">
      <c r="A6" s="15"/>
      <c r="B6" s="16"/>
      <c r="E6" s="17"/>
    </row>
    <row r="7" ht="15.75" spans="1:7">
      <c r="A7" s="18" t="s">
        <v>58</v>
      </c>
      <c r="B7" s="19"/>
      <c r="D7" s="20" t="s">
        <v>5</v>
      </c>
      <c r="E7" s="21" t="s">
        <v>59</v>
      </c>
    </row>
    <row r="8" ht="135" customHeight="1" spans="1:7">
      <c r="A8" s="22"/>
      <c r="B8" s="23" t="s">
        <v>60</v>
      </c>
      <c r="C8" s="24"/>
      <c r="D8" s="20" t="s">
        <v>8</v>
      </c>
      <c r="E8" s="25" t="s">
        <v>61</v>
      </c>
      <c r="F8" s="1"/>
      <c r="G8" s="1"/>
    </row>
    <row r="9" s="1" customFormat="1" ht="15" customHeight="1" spans="1:7">
      <c r="A9" s="26" t="s">
        <v>10</v>
      </c>
      <c r="B9" s="27" t="s">
        <v>62</v>
      </c>
      <c r="E9" s="17"/>
    </row>
    <row r="10" ht="15" customHeight="1" spans="1:7">
      <c r="A10" s="26" t="s">
        <v>12</v>
      </c>
      <c r="B10" s="21" t="s">
        <v>63</v>
      </c>
      <c r="C10" s="1"/>
      <c r="D10" s="28"/>
      <c r="E10" s="17"/>
    </row>
    <row r="11" s="2" customFormat="1" ht="20" customHeight="1" spans="1:7">
      <c r="A11" s="29" t="s">
        <v>14</v>
      </c>
      <c r="B11" s="30" t="s">
        <v>15</v>
      </c>
      <c r="C11" s="30" t="s">
        <v>16</v>
      </c>
      <c r="D11" s="30" t="s">
        <v>30</v>
      </c>
      <c r="E11" s="31" t="s">
        <v>31</v>
      </c>
    </row>
    <row r="12" ht="51" customHeight="1" spans="1:7">
      <c r="A12" s="32" t="s">
        <v>19</v>
      </c>
      <c r="B12" s="33" t="s">
        <v>64</v>
      </c>
      <c r="C12" s="34">
        <v>1</v>
      </c>
      <c r="D12" s="35">
        <v>-360.05</v>
      </c>
      <c r="E12" s="36">
        <v>-360.05</v>
      </c>
    </row>
    <row r="13" ht="22.95" customHeight="1" spans="1:7">
      <c r="A13" s="37" t="s">
        <v>21</v>
      </c>
      <c r="B13" s="38"/>
      <c r="C13" s="39"/>
      <c r="D13" s="39"/>
      <c r="E13" s="36">
        <f>E12</f>
        <v>-360.05</v>
      </c>
    </row>
    <row r="14" ht="15.75" spans="1:7">
      <c r="A14" s="40" t="s">
        <v>65</v>
      </c>
      <c r="B14" s="41"/>
      <c r="C14" s="41"/>
      <c r="D14" s="41"/>
      <c r="E14" s="21"/>
    </row>
    <row r="15" ht="15" customHeight="1" spans="1:7">
      <c r="A15" s="40"/>
      <c r="B15" s="42"/>
      <c r="C15" s="43"/>
      <c r="D15" s="43"/>
      <c r="E15" s="44"/>
    </row>
    <row r="16" ht="15" customHeight="1" spans="1:7">
      <c r="A16" s="40"/>
      <c r="B16" s="42"/>
      <c r="C16" s="43"/>
      <c r="D16" s="43"/>
      <c r="E16" s="44"/>
    </row>
    <row r="17" ht="15" customHeight="1" spans="1:5">
      <c r="A17" s="40"/>
      <c r="B17" s="42"/>
      <c r="C17" s="45"/>
      <c r="D17" s="45"/>
      <c r="E17" s="46"/>
    </row>
    <row r="18" ht="15" customHeight="1" spans="1:5">
      <c r="A18" s="47"/>
      <c r="B18" s="48"/>
      <c r="C18" s="49" t="s">
        <v>25</v>
      </c>
      <c r="D18" s="49"/>
      <c r="E18" s="50"/>
    </row>
    <row r="19" ht="17" customHeight="1" spans="1:5">
      <c r="A19" s="47"/>
      <c r="B19" s="2"/>
      <c r="C19" s="51"/>
      <c r="D19" s="51"/>
      <c r="E19" s="52"/>
    </row>
    <row r="20" ht="14.25" spans="1:5">
      <c r="A20" s="53"/>
      <c r="B20" s="54"/>
      <c r="C20" s="54"/>
      <c r="D20" s="54"/>
      <c r="E20" s="55"/>
    </row>
  </sheetData>
  <mergeCells count="7">
    <mergeCell ref="A1:E1"/>
    <mergeCell ref="A2:E2"/>
    <mergeCell ref="A3:E3"/>
    <mergeCell ref="A4:E4"/>
    <mergeCell ref="A13:B13"/>
    <mergeCell ref="A14:E14"/>
    <mergeCell ref="C18:E18"/>
  </mergeCells>
  <hyperlinks>
    <hyperlink ref="A3" r:id="rId1" display="shengshipangu@outlook.com"/>
  </hyperlinks>
  <pageMargins left="0.75" right="0.75" top="1" bottom="1" header="0.5" footer="0.5"/>
  <pageSetup paperSize="9" scale="8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英国</vt:lpstr>
      <vt:lpstr>德国</vt:lpstr>
      <vt:lpstr>法国</vt:lpstr>
      <vt:lpstr>意大利</vt:lpstr>
      <vt:lpstr>西班牙</vt:lpstr>
      <vt:lpstr>贷记单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89819</dc:creator>
  <cp:lastModifiedBy>moyinm</cp:lastModifiedBy>
  <dcterms:created xsi:type="dcterms:W3CDTF">2020-02-13T04:19:00Z</dcterms:created>
  <dcterms:modified xsi:type="dcterms:W3CDTF">2026-02-06T07:09:32Z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32AC5536FF2042DF98188D437C11F39A_13</vt:lpwstr>
  </property>
  <property fmtid="{D5CDD505-2E9C-101B-9397-08002B2CF9AE}" pid="4" name="CalculationRule">
    <vt:i4>0</vt:i4>
  </property>
</Properties>
</file>