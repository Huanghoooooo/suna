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英国" sheetId="10" r:id="rId1"/>
    <sheet name="德国" sheetId="15" r:id="rId2"/>
    <sheet name="法国" sheetId="16" r:id="rId3"/>
    <sheet name="意大利" sheetId="18" r:id="rId4"/>
    <sheet name="西班牙" sheetId="17" r:id="rId5"/>
    <sheet name="贷记单" sheetId="14" r:id="rId6"/>
  </sheets>
  <definedNames>
    <definedName name="_xlnm.Print_Area" localSheetId="0">英国!$A$1:$E$21</definedName>
    <definedName name="_xlnm.Print_Area" localSheetId="1">德国!$A$1:$E$21</definedName>
    <definedName name="_xlnm.Print_Area" localSheetId="2">法国!$A$1:$E$21</definedName>
    <definedName name="_xlnm.Print_Area" localSheetId="4">西班牙!$A$1:$E$21</definedName>
    <definedName name="_xlnm.Print_Area" localSheetId="3">意大利!$A$1:$E$21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<sst xmlns="http://schemas.openxmlformats.org/spreadsheetml/2006/main" count="170" uniqueCount="51">
  <si>
    <t>Zhengzhou Banwei Trading Co., Ltd.</t>
  </si>
  <si>
    <t>Building 16, Shigeng Community, 38 Yaoqiao Road, Zhengdong New District, Zhengzhou, Henan 450000, CN</t>
  </si>
  <si>
    <t>E-mail: banwei0208@hotmail.com</t>
  </si>
  <si>
    <t>COMMERCIAL INVOICE</t>
  </si>
  <si>
    <t>Seller VAT</t>
  </si>
  <si>
    <t>GB501641436</t>
  </si>
  <si>
    <t>Customer information</t>
  </si>
  <si>
    <t>Invoice date:</t>
  </si>
  <si>
    <t>13,August,2025</t>
  </si>
  <si>
    <t>PODavid Bowie
A E S LTD 10 WATT ROAD HILLINGTON PARK
GLASGOW
G52 4RY
United Kingdom</t>
  </si>
  <si>
    <t>Order number:</t>
  </si>
  <si>
    <t># 205-9826917-9359563</t>
  </si>
  <si>
    <t>Invoice</t>
  </si>
  <si>
    <t>UK-001</t>
  </si>
  <si>
    <t>Delivery date</t>
  </si>
  <si>
    <t>Marks&amp;No.</t>
  </si>
  <si>
    <t>Description of goods</t>
  </si>
  <si>
    <t>Quantity</t>
  </si>
  <si>
    <t>Unit price(EUR)</t>
  </si>
  <si>
    <t>Total Amount(EUR)</t>
  </si>
  <si>
    <t>N/M</t>
  </si>
  <si>
    <t>iOCHOW Auto Feed Paper Shredder: 150-Sheet Micro Cut Security Level P-4 
ASIN: B09YM7P2LN</t>
  </si>
  <si>
    <t>Total</t>
  </si>
  <si>
    <t>TOTAL AMOUNT: SAY EURO  TWO HUNDRED AND FORTY THREE AND POINT NINETY NINE ONLY.</t>
  </si>
  <si>
    <t>Net</t>
  </si>
  <si>
    <t>VAT 20%</t>
  </si>
  <si>
    <t>DE457869624</t>
  </si>
  <si>
    <t>VAT 19%</t>
  </si>
  <si>
    <t>FR36992135699</t>
  </si>
  <si>
    <t>08,December,2025</t>
  </si>
  <si>
    <t>Rue Cardinal Mercier 2
Mont-sur-Marchienne, 6032
Belgium</t>
  </si>
  <si>
    <t># 405-0042267-7709979</t>
  </si>
  <si>
    <t>FR-405-0042267-7709979</t>
  </si>
  <si>
    <t>29,November,2025</t>
  </si>
  <si>
    <t>Venkillian Scanner Portable Caméra Document : Camera HD 8MP avec OCR USB pour Scan A3/A4</t>
  </si>
  <si>
    <t>TOTAL AMOUNT: SAY EURO ONE HUNDRED AND TWO AND POINT SEVENTY FIVE ONLY.</t>
  </si>
  <si>
    <r>
      <rPr>
        <sz val="28"/>
        <color theme="1"/>
        <rFont val="Arial Black"/>
        <charset val="134"/>
      </rPr>
      <t>Xinxiang Yueduan Trading Co., Ltd.</t>
    </r>
    <r>
      <rPr>
        <sz val="28"/>
        <color theme="1"/>
        <rFont val="Times New Roman"/>
        <charset val="134"/>
      </rPr>
      <t>​​</t>
    </r>
  </si>
  <si>
    <t>Building 7, Room 105, Xinhua Jiayuan,111 Kelong Avenue, Weibin District, Xinxiang City, Henan Province 453000, CN</t>
  </si>
  <si>
    <t>E-mail: ranqueph61@163.com</t>
  </si>
  <si>
    <t>CREDIT NOTE</t>
  </si>
  <si>
    <t>To</t>
  </si>
  <si>
    <t>EURL LA FEE SERVICESPOFEEH</t>
  </si>
  <si>
    <t>08,September,2025</t>
  </si>
  <si>
    <t>3 RN 96, 100 avenue Solobie
LA DESTROUSSE, 13112
France</t>
  </si>
  <si>
    <t>order number:</t>
  </si>
  <si>
    <t># 402-3940275-7147503</t>
  </si>
  <si>
    <t>0001 credit note</t>
  </si>
  <si>
    <t>20,August,2025</t>
  </si>
  <si>
    <t>iOCHOW Destructeur de Papier Automatique: 150 Feuilles en Micro Coupe P-4 Broyeur Papier</t>
  </si>
  <si>
    <t>TOTAL AMOUNT: SAY EURO MINUS TWO HUNDRED AND SEVENTY AND POINT SEVENTY FIVE ONLY.</t>
  </si>
  <si>
    <t>Xinxiang Yueduan Trading Co., Ltd.​​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</si>
</sst>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\-mmm\-yy"/>
    <numFmt numFmtId="177" formatCode="0.00_ "/>
  </numFmts>
  <fonts count="31">
    <font>
      <sz val="11"/>
      <color theme="1"/>
      <name val="宋体"/>
      <charset val="134"/>
      <scheme val="minor"/>
    </font>
    <font>
      <sz val="28"/>
      <color theme="1"/>
      <name val="Arial Black"/>
      <charset val="134"/>
    </font>
    <font>
      <sz val="12"/>
      <color theme="1"/>
      <name val="Times New Roman"/>
      <charset val="134"/>
    </font>
    <font>
      <sz val="24"/>
      <color theme="1"/>
      <name val="Arial Black"/>
      <charset val="134"/>
    </font>
    <font>
      <sz val="18"/>
      <color theme="1"/>
      <name val="Arial Black"/>
      <charset val="134"/>
    </font>
    <font>
      <b/>
      <sz val="12"/>
      <color theme="1"/>
      <name val="Times New Roman"/>
      <charset val="134"/>
    </font>
    <font>
      <sz val="11"/>
      <color theme="1"/>
      <name val="Calibri"/>
      <charset val="134"/>
    </font>
    <font>
      <sz val="11"/>
      <color rgb="FF0F1111"/>
      <name val="Calibri"/>
      <charset val="134"/>
    </font>
    <font>
      <sz val="12"/>
      <name val="Calibri"/>
      <charset val="134"/>
    </font>
    <font>
      <sz val="12"/>
      <color theme="1"/>
      <name val="宋体"/>
      <charset val="134"/>
      <scheme val="minor"/>
    </font>
    <font>
      <sz val="12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8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21" applyNumberFormat="0" applyAlignment="0" applyProtection="0">
      <alignment vertical="center"/>
    </xf>
    <xf numFmtId="0" fontId="20" fillId="4" borderId="22" applyNumberFormat="0" applyAlignment="0" applyProtection="0">
      <alignment vertical="center"/>
    </xf>
    <xf numFmtId="0" fontId="21" fillId="4" borderId="21" applyNumberFormat="0" applyAlignment="0" applyProtection="0">
      <alignment vertical="center"/>
    </xf>
    <xf numFmtId="0" fontId="22" fillId="5" borderId="23" applyNumberFormat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justify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Border="1">
      <alignment vertical="center"/>
    </xf>
    <xf numFmtId="0" fontId="6" fillId="0" borderId="5" xfId="0" applyFont="1" applyFill="1" applyBorder="1" applyAlignment="1">
      <alignment vertical="center"/>
    </xf>
    <xf numFmtId="0" fontId="5" fillId="0" borderId="4" xfId="0" applyFont="1" applyBorder="1">
      <alignment vertical="center"/>
    </xf>
    <xf numFmtId="0" fontId="6" fillId="0" borderId="0" xfId="0" applyFont="1" applyFill="1" applyBorder="1" applyAlignment="1">
      <alignment vertical="top" wrapText="1"/>
    </xf>
    <xf numFmtId="0" fontId="7" fillId="0" borderId="5" xfId="0" applyFont="1" applyBorder="1">
      <alignment vertical="center"/>
    </xf>
    <xf numFmtId="0" fontId="6" fillId="0" borderId="0" xfId="0" applyFont="1" applyFill="1" applyBorder="1">
      <alignment vertical="center"/>
    </xf>
    <xf numFmtId="0" fontId="0" fillId="0" borderId="5" xfId="0" applyBorder="1">
      <alignment vertical="center"/>
    </xf>
    <xf numFmtId="0" fontId="6" fillId="0" borderId="6" xfId="0" applyFont="1" applyFill="1" applyBorder="1" applyAlignment="1">
      <alignment vertical="center"/>
    </xf>
    <xf numFmtId="0" fontId="0" fillId="0" borderId="0" xfId="0" applyFont="1">
      <alignment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176" fontId="0" fillId="0" borderId="0" xfId="0" applyNumberFormat="1">
      <alignment vertical="center"/>
    </xf>
    <xf numFmtId="0" fontId="5" fillId="0" borderId="7" xfId="0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177" fontId="6" fillId="0" borderId="8" xfId="0" applyNumberFormat="1" applyFont="1" applyFill="1" applyBorder="1" applyAlignment="1">
      <alignment horizontal="center" vertical="center" wrapText="1"/>
    </xf>
    <xf numFmtId="177" fontId="6" fillId="0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>
      <alignment vertical="center"/>
    </xf>
    <xf numFmtId="0" fontId="5" fillId="0" borderId="11" xfId="0" applyFont="1" applyBorder="1">
      <alignment vertical="center"/>
    </xf>
    <xf numFmtId="0" fontId="0" fillId="0" borderId="8" xfId="0" applyBorder="1" applyAlignment="1">
      <alignment horizontal="center" vertical="center"/>
    </xf>
    <xf numFmtId="177" fontId="6" fillId="0" borderId="9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0" fillId="0" borderId="4" xfId="0" applyBorder="1">
      <alignment vertical="center"/>
    </xf>
    <xf numFmtId="0" fontId="5" fillId="0" borderId="0" xfId="0" applyFont="1" applyFill="1" applyAlignment="1">
      <alignment horizontal="right" vertical="center"/>
    </xf>
    <xf numFmtId="0" fontId="5" fillId="0" borderId="5" xfId="0" applyFont="1" applyFill="1" applyBorder="1" applyAlignment="1">
      <alignment horizontal="right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8" fillId="0" borderId="0" xfId="0" applyFont="1">
      <alignment vertical="center"/>
    </xf>
    <xf numFmtId="0" fontId="0" fillId="0" borderId="4" xfId="0" applyFont="1" applyBorder="1">
      <alignment vertical="center"/>
    </xf>
    <xf numFmtId="0" fontId="0" fillId="0" borderId="0" xfId="0" applyFont="1" applyAlignment="1">
      <alignment vertical="center" wrapText="1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9" fillId="0" borderId="4" xfId="0" applyFont="1" applyBorder="1">
      <alignment vertical="center"/>
    </xf>
    <xf numFmtId="0" fontId="2" fillId="0" borderId="4" xfId="0" applyFont="1" applyBorder="1" applyAlignment="1">
      <alignment horizontal="justify" vertical="center"/>
    </xf>
    <xf numFmtId="0" fontId="2" fillId="0" borderId="0" xfId="0" applyFont="1" applyBorder="1">
      <alignment vertical="center"/>
    </xf>
    <xf numFmtId="0" fontId="10" fillId="0" borderId="0" xfId="0" applyFont="1" applyFill="1" applyBorder="1" applyAlignment="1">
      <alignment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6" fillId="0" borderId="8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5" xfId="0" applyFont="1" applyFill="1" applyBorder="1" applyAlignment="1">
      <alignment vertical="center"/>
    </xf>
    <xf numFmtId="177" fontId="6" fillId="0" borderId="0" xfId="0" applyNumberFormat="1" applyFont="1">
      <alignment vertical="center"/>
    </xf>
    <xf numFmtId="0" fontId="0" fillId="0" borderId="0" xfId="0" applyFill="1" applyAlignment="1">
      <alignment vertical="center"/>
    </xf>
    <xf numFmtId="0" fontId="0" fillId="0" borderId="17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zoomScale="85" zoomScaleNormal="85" workbookViewId="0">
      <selection activeCell="B9" sqref="B9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2" t="s">
        <v>0</v>
      </c>
      <c r="B1" s="3"/>
      <c r="C1" s="3"/>
      <c r="D1" s="3"/>
      <c r="E1" s="4"/>
    </row>
    <row r="2" ht="16" customHeight="1" spans="1:8">
      <c r="A2" s="5" t="s">
        <v>1</v>
      </c>
      <c r="B2" s="6"/>
      <c r="C2" s="6"/>
      <c r="D2" s="6"/>
      <c r="E2" s="7"/>
    </row>
    <row r="3" ht="16" customHeight="1" spans="1:8">
      <c r="A3" s="5" t="s">
        <v>2</v>
      </c>
      <c r="B3" s="8"/>
      <c r="C3" s="8"/>
      <c r="D3" s="8"/>
      <c r="E3" s="9"/>
    </row>
    <row r="4" ht="29" customHeight="1" spans="1:8">
      <c r="A4" s="10" t="s">
        <v>3</v>
      </c>
      <c r="B4" s="11"/>
      <c r="C4" s="11"/>
      <c r="D4" s="11"/>
      <c r="E4" s="12"/>
    </row>
    <row r="5" spans="1:8">
      <c r="A5" s="51"/>
      <c r="B5" s="52"/>
      <c r="E5" s="25"/>
    </row>
    <row r="6" ht="15.75" spans="1:8">
      <c r="A6" s="53" t="s">
        <v>4</v>
      </c>
      <c r="B6" s="54" t="s">
        <v>5</v>
      </c>
      <c r="E6" s="25"/>
    </row>
    <row r="7" ht="15" spans="1:8">
      <c r="A7" s="55"/>
      <c r="B7" s="54"/>
      <c r="E7" s="25"/>
    </row>
    <row r="8" ht="15.75" spans="1:8">
      <c r="A8" s="56" t="s">
        <v>6</v>
      </c>
      <c r="B8" s="17"/>
      <c r="C8" s="18"/>
      <c r="D8" s="57" t="s">
        <v>7</v>
      </c>
      <c r="E8" s="20" t="s">
        <v>8</v>
      </c>
    </row>
    <row r="9" ht="105" customHeight="1" spans="1:8">
      <c r="A9" s="55"/>
      <c r="B9" s="22" t="s">
        <v>9</v>
      </c>
      <c r="C9" s="1"/>
      <c r="D9" s="58" t="s">
        <v>10</v>
      </c>
      <c r="E9" s="23" t="s">
        <v>11</v>
      </c>
      <c r="H9" s="31"/>
    </row>
    <row r="10" s="1" customFormat="1" ht="15" customHeight="1" spans="1:8">
      <c r="A10" s="53" t="s">
        <v>12</v>
      </c>
      <c r="B10" s="18" t="s">
        <v>13</v>
      </c>
      <c r="E10" s="25"/>
    </row>
    <row r="11" ht="15" customHeight="1" spans="1:8">
      <c r="A11" s="53" t="s">
        <v>14</v>
      </c>
      <c r="B11" s="26" t="s">
        <v>8</v>
      </c>
      <c r="D11" s="27"/>
      <c r="E11" s="25"/>
    </row>
    <row r="12" s="50" customFormat="1" ht="15.75" spans="1:8">
      <c r="A12" s="59" t="s">
        <v>15</v>
      </c>
      <c r="B12" s="60" t="s">
        <v>16</v>
      </c>
      <c r="C12" s="61" t="s">
        <v>17</v>
      </c>
      <c r="D12" s="61" t="s">
        <v>18</v>
      </c>
      <c r="E12" s="62" t="s">
        <v>19</v>
      </c>
    </row>
    <row r="13" ht="50" customHeight="1" spans="1:8">
      <c r="A13" s="63" t="s">
        <v>20</v>
      </c>
      <c r="B13" s="33" t="s">
        <v>21</v>
      </c>
      <c r="C13" s="34">
        <v>1</v>
      </c>
      <c r="D13" s="35">
        <v>239</v>
      </c>
      <c r="E13" s="36">
        <v>243.99</v>
      </c>
    </row>
    <row r="14" ht="21" customHeight="1" spans="1:8">
      <c r="A14" s="64" t="s">
        <v>22</v>
      </c>
      <c r="B14" s="65"/>
      <c r="C14" s="34"/>
      <c r="D14" s="66"/>
      <c r="E14" s="36">
        <f>E13</f>
        <v>243.99</v>
      </c>
    </row>
    <row r="15" ht="15.75" spans="1:8">
      <c r="A15" s="67" t="s">
        <v>23</v>
      </c>
      <c r="B15" s="68"/>
      <c r="C15" s="68"/>
      <c r="D15" s="68"/>
      <c r="E15" s="69"/>
    </row>
    <row r="16" ht="15.75" spans="1:8">
      <c r="A16" s="53" t="s">
        <v>24</v>
      </c>
      <c r="B16" s="70">
        <f>E13/(1+0.2)</f>
        <v>203.325</v>
      </c>
      <c r="E16" s="25"/>
    </row>
    <row r="17" ht="15.75" spans="1:7">
      <c r="A17" s="53" t="s">
        <v>25</v>
      </c>
      <c r="B17" s="70">
        <f>B16*0.2</f>
        <v>40.665</v>
      </c>
      <c r="E17" s="25"/>
    </row>
    <row r="18" ht="15.75" spans="1:7">
      <c r="A18" s="53" t="s">
        <v>22</v>
      </c>
      <c r="B18" s="70">
        <f>B16+B17</f>
        <v>243.99</v>
      </c>
      <c r="E18" s="25"/>
    </row>
    <row r="19" ht="15.75" spans="1:7">
      <c r="A19" s="53"/>
      <c r="B19" s="70"/>
      <c r="E19" s="25"/>
    </row>
    <row r="20" ht="15.75" spans="1:7">
      <c r="A20" s="43"/>
      <c r="D20" s="6" t="s">
        <v>0</v>
      </c>
      <c r="E20" s="69"/>
      <c r="F20" s="71"/>
      <c r="G20" s="72"/>
    </row>
    <row r="21" ht="14.25" spans="1:7">
      <c r="A21" s="46"/>
      <c r="B21" s="47"/>
      <c r="C21" s="47"/>
      <c r="D21" s="47"/>
      <c r="E21" s="48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20:E20"/>
  </mergeCells>
  <pageMargins left="0.25" right="0.25" top="0.75" bottom="0.75" header="0.298611111111111" footer="0.298611111111111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2" t="s">
        <v>0</v>
      </c>
      <c r="B1" s="3"/>
      <c r="C1" s="3"/>
      <c r="D1" s="3"/>
      <c r="E1" s="4"/>
    </row>
    <row r="2" ht="16" customHeight="1" spans="1:8">
      <c r="A2" s="5" t="s">
        <v>1</v>
      </c>
      <c r="B2" s="6"/>
      <c r="C2" s="6"/>
      <c r="D2" s="6"/>
      <c r="E2" s="7"/>
    </row>
    <row r="3" ht="16" customHeight="1" spans="1:8">
      <c r="A3" s="5" t="s">
        <v>2</v>
      </c>
      <c r="B3" s="8"/>
      <c r="C3" s="8"/>
      <c r="D3" s="8"/>
      <c r="E3" s="9"/>
    </row>
    <row r="4" ht="29" customHeight="1" spans="1:8">
      <c r="A4" s="10" t="s">
        <v>3</v>
      </c>
      <c r="B4" s="11"/>
      <c r="C4" s="11"/>
      <c r="D4" s="11"/>
      <c r="E4" s="12"/>
    </row>
    <row r="5" spans="1:8">
      <c r="A5" s="51"/>
      <c r="B5" s="52"/>
      <c r="E5" s="25"/>
    </row>
    <row r="6" ht="15.75" spans="1:8">
      <c r="A6" s="53" t="s">
        <v>4</v>
      </c>
      <c r="B6" s="54" t="s">
        <v>26</v>
      </c>
      <c r="E6" s="25"/>
    </row>
    <row r="7" ht="15" spans="1:8">
      <c r="A7" s="55"/>
      <c r="B7" s="54"/>
      <c r="E7" s="25"/>
    </row>
    <row r="8" ht="15.75" spans="1:8">
      <c r="A8" s="56" t="s">
        <v>6</v>
      </c>
      <c r="B8" s="17"/>
      <c r="C8" s="18"/>
      <c r="D8" s="57" t="s">
        <v>7</v>
      </c>
      <c r="E8" s="20" t="s">
        <v>8</v>
      </c>
    </row>
    <row r="9" ht="105" customHeight="1" spans="1:8">
      <c r="A9" s="55"/>
      <c r="B9" s="22" t="s">
        <v>9</v>
      </c>
      <c r="C9" s="1"/>
      <c r="D9" s="58" t="s">
        <v>10</v>
      </c>
      <c r="E9" s="23" t="s">
        <v>11</v>
      </c>
      <c r="H9" s="31"/>
    </row>
    <row r="10" s="1" customFormat="1" ht="15" customHeight="1" spans="1:8">
      <c r="A10" s="53" t="s">
        <v>12</v>
      </c>
      <c r="B10" s="18" t="s">
        <v>13</v>
      </c>
      <c r="E10" s="25"/>
    </row>
    <row r="11" ht="15" customHeight="1" spans="1:8">
      <c r="A11" s="53" t="s">
        <v>14</v>
      </c>
      <c r="B11" s="26" t="s">
        <v>8</v>
      </c>
      <c r="D11" s="27"/>
      <c r="E11" s="25"/>
    </row>
    <row r="12" s="50" customFormat="1" ht="15.75" spans="1:8">
      <c r="A12" s="59" t="s">
        <v>15</v>
      </c>
      <c r="B12" s="60" t="s">
        <v>16</v>
      </c>
      <c r="C12" s="61" t="s">
        <v>17</v>
      </c>
      <c r="D12" s="61" t="s">
        <v>18</v>
      </c>
      <c r="E12" s="62" t="s">
        <v>19</v>
      </c>
    </row>
    <row r="13" ht="70" customHeight="1" spans="1:8">
      <c r="A13" s="63" t="s">
        <v>20</v>
      </c>
      <c r="B13" s="33" t="s">
        <v>21</v>
      </c>
      <c r="C13" s="34">
        <v>1</v>
      </c>
      <c r="D13" s="35">
        <v>239</v>
      </c>
      <c r="E13" s="36">
        <v>243.99</v>
      </c>
    </row>
    <row r="14" ht="21" customHeight="1" spans="1:8">
      <c r="A14" s="64" t="s">
        <v>22</v>
      </c>
      <c r="B14" s="65"/>
      <c r="C14" s="34"/>
      <c r="D14" s="66"/>
      <c r="E14" s="36">
        <f>E13</f>
        <v>243.99</v>
      </c>
    </row>
    <row r="15" ht="15.75" spans="1:8">
      <c r="A15" s="67" t="s">
        <v>23</v>
      </c>
      <c r="B15" s="68"/>
      <c r="C15" s="68"/>
      <c r="D15" s="68"/>
      <c r="E15" s="69"/>
    </row>
    <row r="16" ht="15.75" spans="1:8">
      <c r="A16" s="53" t="s">
        <v>24</v>
      </c>
      <c r="B16" s="70">
        <f>E13/(1+0.19)</f>
        <v>205.033613445378</v>
      </c>
      <c r="E16" s="25"/>
    </row>
    <row r="17" ht="15.75" spans="1:7">
      <c r="A17" s="53" t="s">
        <v>27</v>
      </c>
      <c r="B17" s="70">
        <f>B16*0.19</f>
        <v>38.9563865546219</v>
      </c>
      <c r="E17" s="25"/>
    </row>
    <row r="18" ht="15.75" spans="1:7">
      <c r="A18" s="53" t="s">
        <v>22</v>
      </c>
      <c r="B18" s="70">
        <f>B16+B17</f>
        <v>243.99</v>
      </c>
      <c r="E18" s="25"/>
    </row>
    <row r="19" ht="15.75" spans="1:7">
      <c r="A19" s="53"/>
      <c r="B19" s="70"/>
      <c r="E19" s="25"/>
    </row>
    <row r="20" ht="15.75" spans="1:7">
      <c r="A20" s="43"/>
      <c r="D20" s="6" t="s">
        <v>0</v>
      </c>
      <c r="E20" s="69"/>
      <c r="F20" s="71"/>
      <c r="G20" s="72"/>
    </row>
    <row r="21" ht="14.25" spans="1:7">
      <c r="A21" s="46"/>
      <c r="B21" s="47"/>
      <c r="C21" s="47"/>
      <c r="D21" s="47"/>
      <c r="E21" s="48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20:E20"/>
  </mergeCells>
  <pageMargins left="0.25" right="0.25" top="0.75" bottom="0.75" header="0.298611111111111" footer="0.298611111111111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2" t="s">
        <v>0</v>
      </c>
      <c r="B1" s="3"/>
      <c r="C1" s="3"/>
      <c r="D1" s="3"/>
      <c r="E1" s="4"/>
    </row>
    <row r="2" ht="16" customHeight="1" spans="1:8">
      <c r="A2" s="5" t="s">
        <v>1</v>
      </c>
      <c r="B2" s="6"/>
      <c r="C2" s="6"/>
      <c r="D2" s="6"/>
      <c r="E2" s="7"/>
    </row>
    <row r="3" ht="16" customHeight="1" spans="1:8">
      <c r="A3" s="5" t="s">
        <v>2</v>
      </c>
      <c r="B3" s="8"/>
      <c r="C3" s="8"/>
      <c r="D3" s="8"/>
      <c r="E3" s="9"/>
    </row>
    <row r="4" ht="29" customHeight="1" spans="1:8">
      <c r="A4" s="10" t="s">
        <v>3</v>
      </c>
      <c r="B4" s="11"/>
      <c r="C4" s="11"/>
      <c r="D4" s="11"/>
      <c r="E4" s="12"/>
    </row>
    <row r="5" spans="1:8">
      <c r="A5" s="51"/>
      <c r="B5" s="52"/>
      <c r="E5" s="25"/>
    </row>
    <row r="6" ht="15.75" spans="1:8">
      <c r="A6" s="53" t="s">
        <v>4</v>
      </c>
      <c r="B6" s="54" t="s">
        <v>28</v>
      </c>
      <c r="E6" s="25"/>
    </row>
    <row r="7" ht="15" spans="1:8">
      <c r="A7" s="55"/>
      <c r="B7" s="54"/>
      <c r="E7" s="25"/>
    </row>
    <row r="8" ht="15.75" spans="1:8">
      <c r="A8" s="56" t="s">
        <v>6</v>
      </c>
      <c r="B8" s="17"/>
      <c r="C8" s="18"/>
      <c r="D8" s="57" t="s">
        <v>7</v>
      </c>
      <c r="E8" s="20" t="s">
        <v>29</v>
      </c>
    </row>
    <row r="9" ht="105" customHeight="1" spans="1:8">
      <c r="A9" s="55"/>
      <c r="B9" s="22" t="s">
        <v>30</v>
      </c>
      <c r="C9" s="1"/>
      <c r="D9" s="58" t="s">
        <v>10</v>
      </c>
      <c r="E9" s="23" t="s">
        <v>31</v>
      </c>
      <c r="H9" s="31"/>
    </row>
    <row r="10" s="1" customFormat="1" ht="15" customHeight="1" spans="1:8">
      <c r="A10" s="53" t="s">
        <v>12</v>
      </c>
      <c r="B10" s="18" t="s">
        <v>32</v>
      </c>
      <c r="E10" s="25"/>
    </row>
    <row r="11" ht="15" customHeight="1" spans="1:8">
      <c r="A11" s="53" t="s">
        <v>14</v>
      </c>
      <c r="B11" s="26" t="s">
        <v>33</v>
      </c>
      <c r="D11" s="27"/>
      <c r="E11" s="25"/>
    </row>
    <row r="12" s="50" customFormat="1" ht="15.75" spans="1:8">
      <c r="A12" s="59" t="s">
        <v>15</v>
      </c>
      <c r="B12" s="60" t="s">
        <v>16</v>
      </c>
      <c r="C12" s="61" t="s">
        <v>17</v>
      </c>
      <c r="D12" s="61" t="s">
        <v>18</v>
      </c>
      <c r="E12" s="62" t="s">
        <v>19</v>
      </c>
    </row>
    <row r="13" ht="50" customHeight="1" spans="1:8">
      <c r="A13" s="63" t="s">
        <v>20</v>
      </c>
      <c r="B13" s="33" t="s">
        <v>34</v>
      </c>
      <c r="C13" s="34">
        <v>1</v>
      </c>
      <c r="D13" s="35">
        <v>102.75</v>
      </c>
      <c r="E13" s="36">
        <f>D13</f>
        <v>102.75</v>
      </c>
    </row>
    <row r="14" ht="21" customHeight="1" spans="1:8">
      <c r="A14" s="64" t="s">
        <v>22</v>
      </c>
      <c r="B14" s="65"/>
      <c r="C14" s="34"/>
      <c r="D14" s="66"/>
      <c r="E14" s="36">
        <f>E13</f>
        <v>102.75</v>
      </c>
    </row>
    <row r="15" ht="15.75" spans="1:8">
      <c r="A15" s="67" t="s">
        <v>35</v>
      </c>
      <c r="B15" s="68"/>
      <c r="C15" s="68"/>
      <c r="D15" s="68"/>
      <c r="E15" s="69"/>
    </row>
    <row r="16" ht="15.75" spans="1:8">
      <c r="A16" s="53" t="s">
        <v>24</v>
      </c>
      <c r="B16" s="70">
        <f>E13/(1+0.2)</f>
        <v>85.625</v>
      </c>
      <c r="E16" s="25"/>
    </row>
    <row r="17" ht="15.75" spans="1:7">
      <c r="A17" s="53" t="s">
        <v>25</v>
      </c>
      <c r="B17" s="70">
        <f>B16*0.2</f>
        <v>17.125</v>
      </c>
      <c r="E17" s="25"/>
    </row>
    <row r="18" ht="15.75" spans="1:7">
      <c r="A18" s="53" t="s">
        <v>22</v>
      </c>
      <c r="B18" s="70">
        <f>B16+B17</f>
        <v>102.75</v>
      </c>
      <c r="E18" s="25"/>
    </row>
    <row r="19" ht="15.75" spans="1:7">
      <c r="A19" s="53"/>
      <c r="B19" s="70"/>
      <c r="E19" s="25"/>
    </row>
    <row r="20" ht="15.75" spans="1:7">
      <c r="A20" s="43"/>
      <c r="D20" s="6" t="s">
        <v>0</v>
      </c>
      <c r="E20" s="69"/>
      <c r="F20" s="71"/>
      <c r="G20" s="72"/>
    </row>
    <row r="21" ht="14.25" spans="1:7">
      <c r="A21" s="46"/>
      <c r="B21" s="47"/>
      <c r="C21" s="47"/>
      <c r="D21" s="47"/>
      <c r="E21" s="48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20:E20"/>
  </mergeCells>
  <pageMargins left="0.25" right="0.25" top="0.75" bottom="0.75" header="0.298611111111111" footer="0.298611111111111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2" t="s">
        <v>0</v>
      </c>
      <c r="B1" s="3"/>
      <c r="C1" s="3"/>
      <c r="D1" s="3"/>
      <c r="E1" s="4"/>
    </row>
    <row r="2" ht="16" customHeight="1" spans="1:8">
      <c r="A2" s="5" t="s">
        <v>1</v>
      </c>
      <c r="B2" s="6"/>
      <c r="C2" s="6"/>
      <c r="D2" s="6"/>
      <c r="E2" s="7"/>
    </row>
    <row r="3" ht="16" customHeight="1" spans="1:8">
      <c r="A3" s="5" t="s">
        <v>2</v>
      </c>
      <c r="B3" s="8"/>
      <c r="C3" s="8"/>
      <c r="D3" s="8"/>
      <c r="E3" s="9"/>
    </row>
    <row r="4" ht="29" customHeight="1" spans="1:8">
      <c r="A4" s="10" t="s">
        <v>3</v>
      </c>
      <c r="B4" s="11"/>
      <c r="C4" s="11"/>
      <c r="D4" s="11"/>
      <c r="E4" s="12"/>
    </row>
    <row r="5" spans="1:8">
      <c r="A5" s="51"/>
      <c r="B5" s="52"/>
      <c r="E5" s="25"/>
    </row>
    <row r="6" ht="15.75" spans="1:8">
      <c r="A6" s="53" t="s">
        <v>4</v>
      </c>
      <c r="B6" s="54" t="s">
        <v>28</v>
      </c>
      <c r="E6" s="25"/>
    </row>
    <row r="7" ht="15" spans="1:8">
      <c r="A7" s="55"/>
      <c r="B7" s="54"/>
      <c r="E7" s="25"/>
    </row>
    <row r="8" ht="15.75" spans="1:8">
      <c r="A8" s="56" t="s">
        <v>6</v>
      </c>
      <c r="B8" s="17"/>
      <c r="C8" s="18"/>
      <c r="D8" s="57" t="s">
        <v>7</v>
      </c>
      <c r="E8" s="20" t="s">
        <v>29</v>
      </c>
    </row>
    <row r="9" ht="105" customHeight="1" spans="1:8">
      <c r="A9" s="55"/>
      <c r="B9" s="22" t="s">
        <v>30</v>
      </c>
      <c r="C9" s="1"/>
      <c r="D9" s="58" t="s">
        <v>10</v>
      </c>
      <c r="E9" s="23" t="s">
        <v>31</v>
      </c>
      <c r="H9" s="31"/>
    </row>
    <row r="10" s="1" customFormat="1" ht="15" customHeight="1" spans="1:8">
      <c r="A10" s="53" t="s">
        <v>12</v>
      </c>
      <c r="B10" s="18" t="s">
        <v>32</v>
      </c>
      <c r="E10" s="25"/>
    </row>
    <row r="11" ht="15" customHeight="1" spans="1:8">
      <c r="A11" s="53" t="s">
        <v>14</v>
      </c>
      <c r="B11" s="26" t="s">
        <v>33</v>
      </c>
      <c r="D11" s="27"/>
      <c r="E11" s="25"/>
    </row>
    <row r="12" s="50" customFormat="1" ht="15.75" spans="1:8">
      <c r="A12" s="59" t="s">
        <v>15</v>
      </c>
      <c r="B12" s="60" t="s">
        <v>16</v>
      </c>
      <c r="C12" s="61" t="s">
        <v>17</v>
      </c>
      <c r="D12" s="61" t="s">
        <v>18</v>
      </c>
      <c r="E12" s="62" t="s">
        <v>19</v>
      </c>
    </row>
    <row r="13" ht="50" customHeight="1" spans="1:8">
      <c r="A13" s="63" t="s">
        <v>20</v>
      </c>
      <c r="B13" s="33" t="s">
        <v>34</v>
      </c>
      <c r="C13" s="34">
        <v>1</v>
      </c>
      <c r="D13" s="35">
        <v>102.75</v>
      </c>
      <c r="E13" s="36">
        <f>D13</f>
        <v>102.75</v>
      </c>
    </row>
    <row r="14" ht="21" customHeight="1" spans="1:8">
      <c r="A14" s="64" t="s">
        <v>22</v>
      </c>
      <c r="B14" s="65"/>
      <c r="C14" s="34"/>
      <c r="D14" s="66"/>
      <c r="E14" s="36">
        <f>E13</f>
        <v>102.75</v>
      </c>
    </row>
    <row r="15" ht="15.75" spans="1:8">
      <c r="A15" s="67" t="s">
        <v>35</v>
      </c>
      <c r="B15" s="68"/>
      <c r="C15" s="68"/>
      <c r="D15" s="68"/>
      <c r="E15" s="69"/>
    </row>
    <row r="16" ht="15.75" spans="1:8">
      <c r="A16" s="53" t="s">
        <v>24</v>
      </c>
      <c r="B16" s="70">
        <f>E13/(1+0.2)</f>
        <v>85.625</v>
      </c>
      <c r="E16" s="25"/>
    </row>
    <row r="17" ht="15.75" spans="1:7">
      <c r="A17" s="53" t="s">
        <v>25</v>
      </c>
      <c r="B17" s="70">
        <f>B16*0.2</f>
        <v>17.125</v>
      </c>
      <c r="E17" s="25"/>
    </row>
    <row r="18" ht="15.75" spans="1:7">
      <c r="A18" s="53" t="s">
        <v>22</v>
      </c>
      <c r="B18" s="70">
        <f>B16+B17</f>
        <v>102.75</v>
      </c>
      <c r="E18" s="25"/>
    </row>
    <row r="19" ht="15.75" spans="1:7">
      <c r="A19" s="53"/>
      <c r="B19" s="70"/>
      <c r="E19" s="25"/>
    </row>
    <row r="20" ht="15.75" spans="1:7">
      <c r="A20" s="43"/>
      <c r="D20" s="6" t="s">
        <v>0</v>
      </c>
      <c r="E20" s="69"/>
      <c r="F20" s="71"/>
      <c r="G20" s="72"/>
    </row>
    <row r="21" ht="14.25" spans="1:7">
      <c r="A21" s="46"/>
      <c r="B21" s="47"/>
      <c r="C21" s="47"/>
      <c r="D21" s="47"/>
      <c r="E21" s="48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20:E20"/>
  </mergeCells>
  <pageMargins left="0.25" right="0.25" top="0.75" bottom="0.75" header="0.298611111111111" footer="0.298611111111111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2" t="s">
        <v>0</v>
      </c>
      <c r="B1" s="3"/>
      <c r="C1" s="3"/>
      <c r="D1" s="3"/>
      <c r="E1" s="4"/>
    </row>
    <row r="2" ht="16" customHeight="1" spans="1:8">
      <c r="A2" s="5" t="s">
        <v>1</v>
      </c>
      <c r="B2" s="6"/>
      <c r="C2" s="6"/>
      <c r="D2" s="6"/>
      <c r="E2" s="7"/>
    </row>
    <row r="3" ht="16" customHeight="1" spans="1:8">
      <c r="A3" s="5" t="s">
        <v>2</v>
      </c>
      <c r="B3" s="8"/>
      <c r="C3" s="8"/>
      <c r="D3" s="8"/>
      <c r="E3" s="9"/>
    </row>
    <row r="4" ht="29" customHeight="1" spans="1:8">
      <c r="A4" s="10" t="s">
        <v>3</v>
      </c>
      <c r="B4" s="11"/>
      <c r="C4" s="11"/>
      <c r="D4" s="11"/>
      <c r="E4" s="12"/>
    </row>
    <row r="5" spans="1:8">
      <c r="A5" s="51"/>
      <c r="B5" s="52"/>
      <c r="E5" s="25"/>
    </row>
    <row r="6" ht="15.75" spans="1:8">
      <c r="A6" s="53" t="s">
        <v>4</v>
      </c>
      <c r="B6" s="54" t="s">
        <v>28</v>
      </c>
      <c r="E6" s="25"/>
    </row>
    <row r="7" ht="15" spans="1:8">
      <c r="A7" s="55"/>
      <c r="B7" s="54"/>
      <c r="E7" s="25"/>
    </row>
    <row r="8" ht="15.75" spans="1:8">
      <c r="A8" s="56" t="s">
        <v>6</v>
      </c>
      <c r="B8" s="17"/>
      <c r="C8" s="18"/>
      <c r="D8" s="57" t="s">
        <v>7</v>
      </c>
      <c r="E8" s="20" t="s">
        <v>29</v>
      </c>
    </row>
    <row r="9" ht="105" customHeight="1" spans="1:8">
      <c r="A9" s="55"/>
      <c r="B9" s="22" t="s">
        <v>30</v>
      </c>
      <c r="C9" s="1"/>
      <c r="D9" s="58" t="s">
        <v>10</v>
      </c>
      <c r="E9" s="23" t="s">
        <v>31</v>
      </c>
      <c r="H9" s="31"/>
    </row>
    <row r="10" s="1" customFormat="1" ht="15" customHeight="1" spans="1:8">
      <c r="A10" s="53" t="s">
        <v>12</v>
      </c>
      <c r="B10" s="18" t="s">
        <v>32</v>
      </c>
      <c r="E10" s="25"/>
    </row>
    <row r="11" ht="15" customHeight="1" spans="1:8">
      <c r="A11" s="53" t="s">
        <v>14</v>
      </c>
      <c r="B11" s="26" t="s">
        <v>33</v>
      </c>
      <c r="D11" s="27"/>
      <c r="E11" s="25"/>
    </row>
    <row r="12" s="50" customFormat="1" ht="15.75" spans="1:8">
      <c r="A12" s="59" t="s">
        <v>15</v>
      </c>
      <c r="B12" s="60" t="s">
        <v>16</v>
      </c>
      <c r="C12" s="61" t="s">
        <v>17</v>
      </c>
      <c r="D12" s="61" t="s">
        <v>18</v>
      </c>
      <c r="E12" s="62" t="s">
        <v>19</v>
      </c>
    </row>
    <row r="13" ht="50" customHeight="1" spans="1:8">
      <c r="A13" s="63" t="s">
        <v>20</v>
      </c>
      <c r="B13" s="33" t="s">
        <v>34</v>
      </c>
      <c r="C13" s="34">
        <v>1</v>
      </c>
      <c r="D13" s="35">
        <v>102.75</v>
      </c>
      <c r="E13" s="36">
        <f>D13</f>
        <v>102.75</v>
      </c>
    </row>
    <row r="14" ht="21" customHeight="1" spans="1:8">
      <c r="A14" s="64" t="s">
        <v>22</v>
      </c>
      <c r="B14" s="65"/>
      <c r="C14" s="34"/>
      <c r="D14" s="66"/>
      <c r="E14" s="36">
        <f>E13</f>
        <v>102.75</v>
      </c>
    </row>
    <row r="15" ht="15.75" spans="1:8">
      <c r="A15" s="67" t="s">
        <v>35</v>
      </c>
      <c r="B15" s="68"/>
      <c r="C15" s="68"/>
      <c r="D15" s="68"/>
      <c r="E15" s="69"/>
    </row>
    <row r="16" ht="15.75" spans="1:8">
      <c r="A16" s="53" t="s">
        <v>24</v>
      </c>
      <c r="B16" s="70">
        <f>E13/(1+0.2)</f>
        <v>85.625</v>
      </c>
      <c r="E16" s="25"/>
    </row>
    <row r="17" ht="15.75" spans="1:7">
      <c r="A17" s="53" t="s">
        <v>25</v>
      </c>
      <c r="B17" s="70">
        <f>B16*0.2</f>
        <v>17.125</v>
      </c>
      <c r="E17" s="25"/>
    </row>
    <row r="18" ht="15.75" spans="1:7">
      <c r="A18" s="53" t="s">
        <v>22</v>
      </c>
      <c r="B18" s="70">
        <f>B16+B17</f>
        <v>102.75</v>
      </c>
      <c r="E18" s="25"/>
    </row>
    <row r="19" ht="15.75" spans="1:7">
      <c r="A19" s="53"/>
      <c r="B19" s="70"/>
      <c r="E19" s="25"/>
    </row>
    <row r="20" ht="15.75" spans="1:7">
      <c r="A20" s="43"/>
      <c r="D20" s="6" t="s">
        <v>0</v>
      </c>
      <c r="E20" s="69"/>
      <c r="F20" s="71"/>
      <c r="G20" s="72"/>
    </row>
    <row r="21" ht="14.25" spans="1:7">
      <c r="A21" s="46"/>
      <c r="B21" s="47"/>
      <c r="C21" s="47"/>
      <c r="D21" s="47"/>
      <c r="E21" s="48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20:E20"/>
  </mergeCells>
  <pageMargins left="0.25" right="0.25" top="0.75" bottom="0.75" header="0.298611111111111" footer="0.298611111111111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zoomScale="85" zoomScaleNormal="85" workbookViewId="0">
      <selection activeCell="J21" sqref="J21"/>
    </sheetView>
  </sheetViews>
  <sheetFormatPr defaultColWidth="8.66666666666667" defaultRowHeight="13.5" outlineLevelCol="7"/>
  <cols>
    <col min="1" max="1" width="23.775" customWidth="1"/>
    <col min="2" max="2" width="30.4416666666667" customWidth="1"/>
    <col min="3" max="4" width="23.775" customWidth="1"/>
    <col min="5" max="5" width="25.5" customWidth="1"/>
    <col min="8" max="8" width="10.3833333333333"/>
  </cols>
  <sheetData>
    <row r="1" ht="37" customHeight="1" spans="1:8">
      <c r="A1" s="2" t="s">
        <v>36</v>
      </c>
      <c r="B1" s="3"/>
      <c r="C1" s="3"/>
      <c r="D1" s="3"/>
      <c r="E1" s="4"/>
    </row>
    <row r="2" ht="17" customHeight="1" spans="1:8">
      <c r="A2" s="5" t="s">
        <v>37</v>
      </c>
      <c r="B2" s="6"/>
      <c r="C2" s="6"/>
      <c r="D2" s="6"/>
      <c r="E2" s="7"/>
    </row>
    <row r="3" ht="17" customHeight="1" spans="1:8">
      <c r="A3" s="5" t="s">
        <v>38</v>
      </c>
      <c r="B3" s="8"/>
      <c r="C3" s="8"/>
      <c r="D3" s="8"/>
      <c r="E3" s="9"/>
    </row>
    <row r="4" ht="25" customHeight="1" spans="1:8">
      <c r="A4" s="10" t="s">
        <v>39</v>
      </c>
      <c r="B4" s="11"/>
      <c r="C4" s="11"/>
      <c r="D4" s="11"/>
      <c r="E4" s="12"/>
    </row>
    <row r="5" ht="16" customHeight="1" spans="1:8">
      <c r="A5" s="13"/>
      <c r="B5" s="14"/>
      <c r="C5" s="14"/>
      <c r="D5" s="14"/>
      <c r="E5" s="15"/>
    </row>
    <row r="6" ht="15" customHeight="1" spans="1:8">
      <c r="A6" s="16" t="s">
        <v>40</v>
      </c>
      <c r="B6" s="17" t="s">
        <v>41</v>
      </c>
      <c r="C6" s="18"/>
      <c r="D6" s="19" t="s">
        <v>7</v>
      </c>
      <c r="E6" s="20" t="s">
        <v>42</v>
      </c>
    </row>
    <row r="7" ht="94" customHeight="1" spans="1:8">
      <c r="A7" s="21"/>
      <c r="B7" s="22" t="s">
        <v>43</v>
      </c>
      <c r="C7" s="1"/>
      <c r="D7" s="19" t="s">
        <v>44</v>
      </c>
      <c r="E7" s="23" t="s">
        <v>45</v>
      </c>
    </row>
    <row r="8" ht="15.75" spans="1:8">
      <c r="A8" s="21" t="s">
        <v>12</v>
      </c>
      <c r="B8" s="24" t="s">
        <v>46</v>
      </c>
      <c r="C8" s="1"/>
      <c r="D8" s="1"/>
      <c r="E8" s="25"/>
    </row>
    <row r="9" customFormat="1" ht="15.75" spans="1:8">
      <c r="A9" s="21" t="s">
        <v>14</v>
      </c>
      <c r="B9" s="26" t="s">
        <v>47</v>
      </c>
      <c r="D9" s="27"/>
      <c r="E9" s="25"/>
    </row>
    <row r="10" ht="16" customHeight="1" spans="1:8">
      <c r="A10" s="28" t="s">
        <v>15</v>
      </c>
      <c r="B10" s="29" t="s">
        <v>16</v>
      </c>
      <c r="C10" s="29" t="s">
        <v>17</v>
      </c>
      <c r="D10" s="29" t="s">
        <v>18</v>
      </c>
      <c r="E10" s="30" t="s">
        <v>19</v>
      </c>
      <c r="H10" s="31"/>
    </row>
    <row r="11" s="1" customFormat="1" ht="72" customHeight="1" spans="1:8">
      <c r="A11" s="32" t="s">
        <v>20</v>
      </c>
      <c r="B11" s="33" t="s">
        <v>48</v>
      </c>
      <c r="C11" s="34">
        <v>1</v>
      </c>
      <c r="D11" s="35">
        <v>-270.75</v>
      </c>
      <c r="E11" s="36">
        <f>(D11)</f>
        <v>-270.75</v>
      </c>
    </row>
    <row r="12" ht="21" customHeight="1" spans="1:8">
      <c r="A12" s="37" t="s">
        <v>22</v>
      </c>
      <c r="B12" s="38"/>
      <c r="C12" s="39"/>
      <c r="D12" s="39"/>
      <c r="E12" s="40">
        <f>E11</f>
        <v>-270.75</v>
      </c>
    </row>
    <row r="13" ht="15.75" spans="1:8">
      <c r="A13" s="21" t="s">
        <v>49</v>
      </c>
      <c r="B13" s="41"/>
      <c r="C13" s="41"/>
      <c r="D13" s="41"/>
      <c r="E13" s="42"/>
    </row>
    <row r="14" customFormat="1" ht="12" customHeight="1" spans="1:8">
      <c r="A14" s="43"/>
      <c r="E14" s="25"/>
    </row>
    <row r="15" customFormat="1" ht="13" customHeight="1" spans="1:8">
      <c r="A15" s="43"/>
      <c r="E15" s="25"/>
    </row>
    <row r="16" customFormat="1" ht="15.75" spans="1:8">
      <c r="A16" s="43"/>
      <c r="C16" s="44" t="s">
        <v>50</v>
      </c>
      <c r="D16" s="44"/>
      <c r="E16" s="45"/>
    </row>
    <row r="17" customFormat="1" spans="1:5">
      <c r="A17" s="43"/>
      <c r="E17" s="25"/>
    </row>
    <row r="18" ht="14.25" spans="1:5">
      <c r="A18" s="46"/>
      <c r="B18" s="47"/>
      <c r="C18" s="47"/>
      <c r="D18" s="47"/>
      <c r="E18" s="48"/>
    </row>
    <row r="19" customFormat="1" spans="1:5">
      <c r="A19" s="49"/>
    </row>
    <row r="20" spans="1:5">
      <c r="A20" s="1"/>
      <c r="B20" s="1"/>
      <c r="C20" s="1"/>
      <c r="D20" s="1"/>
      <c r="E20" s="1"/>
    </row>
    <row r="21" spans="1:5">
      <c r="A21" s="1"/>
      <c r="B21" s="1"/>
      <c r="C21" s="1"/>
      <c r="D21" s="1"/>
      <c r="E21" s="1"/>
    </row>
    <row r="22" spans="1:5">
      <c r="A22" s="1"/>
      <c r="B22" s="1"/>
      <c r="C22" s="1"/>
      <c r="D22" s="1"/>
      <c r="E22" s="1"/>
    </row>
  </sheetData>
  <mergeCells count="8">
    <mergeCell ref="A1:E1"/>
    <mergeCell ref="A2:E2"/>
    <mergeCell ref="A3:E3"/>
    <mergeCell ref="A4:E4"/>
    <mergeCell ref="B6:C6"/>
    <mergeCell ref="A12:B12"/>
    <mergeCell ref="A13:E13"/>
    <mergeCell ref="C16:E16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英国</vt:lpstr>
      <vt:lpstr>德国</vt:lpstr>
      <vt:lpstr>法国</vt:lpstr>
      <vt:lpstr>意大利</vt:lpstr>
      <vt:lpstr>西班牙</vt:lpstr>
      <vt:lpstr>贷记单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bamboosang</dc:creator>
  <cp:lastModifiedBy>moyinm</cp:lastModifiedBy>
  <dcterms:created xsi:type="dcterms:W3CDTF">2023-01-12T03:18:00Z</dcterms:created>
  <dcterms:modified xsi:type="dcterms:W3CDTF">2026-02-03T10:24:26Z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38704DD9522E40BBBF80CCD5D530C6F5_13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