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英国" sheetId="15" r:id="rId1"/>
    <sheet name="德国" sheetId="13" r:id="rId2"/>
    <sheet name="法国" sheetId="16" r:id="rId3"/>
    <sheet name="意大利" sheetId="17" r:id="rId4"/>
    <sheet name="西班牙" sheetId="18" r:id="rId5"/>
    <sheet name="贷记单" sheetId="14" r:id="rId6"/>
  </sheets>
  <definedNames>
    <definedName name="_xlnm.Print_Area" localSheetId="1">德国!$A$1:$E$21</definedName>
    <definedName name="_xlnm.Print_Area" localSheetId="0">英国!$A$1:$E$21</definedName>
    <definedName name="_xlnm.Print_Area" localSheetId="2">法国!$A$1:$E$21</definedName>
    <definedName name="_xlnm.Print_Area" localSheetId="3">意大利!$A$1:$E$21</definedName>
    <definedName name="_xlnm.Print_Area" localSheetId="4">西班牙!$A$1:$E$21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<sst xmlns="http://schemas.openxmlformats.org/spreadsheetml/2006/main" count="161" uniqueCount="62">
  <si>
    <t>Xinxiang Fanjiang Trading Co., Ltd.</t>
  </si>
  <si>
    <t>Unit 1, Building 10,Greenland Diya Shanzhuang, 1088 Laodong South Street, Weibin District, Xinxiang City, Henan Province 453000, CN</t>
  </si>
  <si>
    <t>E-mail: qingmai9555117@163.com</t>
  </si>
  <si>
    <t>COMMERCIAL INVOICE</t>
  </si>
  <si>
    <t>Seller VAT</t>
  </si>
  <si>
    <t>GB498392232</t>
  </si>
  <si>
    <t>Customer information</t>
  </si>
  <si>
    <t>Invoice date:</t>
  </si>
  <si>
    <t>28,September,2025</t>
  </si>
  <si>
    <t>2 Rue de Bourdelas
Couzeix, 87270
France</t>
  </si>
  <si>
    <t>Order number:</t>
  </si>
  <si>
    <t># 402-9421563-7337912</t>
  </si>
  <si>
    <t>Invoice</t>
  </si>
  <si>
    <t>DE-023</t>
  </si>
  <si>
    <t>Delivery date</t>
  </si>
  <si>
    <t>26,September,2025</t>
  </si>
  <si>
    <t>Marks&amp;No.</t>
  </si>
  <si>
    <t>Description of goods</t>
  </si>
  <si>
    <t>Quantity</t>
  </si>
  <si>
    <t>Unit price(EUR)</t>
  </si>
  <si>
    <t>Total Amount(EUR)</t>
  </si>
  <si>
    <t>N/M</t>
  </si>
  <si>
    <t>iOCHOW Destructeur de Papier Automatique: 150 Feuilles en Micro Coupe P-4 Broyeur Papier 
ASIN: B09YM7ZQC3</t>
  </si>
  <si>
    <t>Total</t>
  </si>
  <si>
    <t>TOTAL AMOUNT: SAY EURO TWO HUNDRED AND FORTY THREE AND POINT SIXTY EIGHT ONLY.</t>
  </si>
  <si>
    <t>Net</t>
  </si>
  <si>
    <t>VAT 21%</t>
  </si>
  <si>
    <t>DE456673956</t>
  </si>
  <si>
    <t># 305-1200244-6355563</t>
  </si>
  <si>
    <t>DE-305-1200244-6355563</t>
  </si>
  <si>
    <t xml:space="preserve">iOCHOW Bautrockner Luftentfeuchter Keller Elektrisch: 120L/Tag Leistung für Räume bis 300m² </t>
  </si>
  <si>
    <t>TOTAL AMOUNT: SAY EURO THREE HUNDRED AND SEVENTY FOUR AND POINT FIVE ONLY.</t>
  </si>
  <si>
    <t>VAT 19%</t>
  </si>
  <si>
    <t>620 avenue Pavlov
ZI St Césaire
NIMES, 30900
France</t>
  </si>
  <si>
    <t xml:space="preserve"># 171-2216806-3693927 </t>
  </si>
  <si>
    <t xml:space="preserve">FR-171-2216806-3693927 </t>
  </si>
  <si>
    <t>iOCHOW Déshumidificateur d'Air Electrique Professionnel: 120L/Jour Anti-Moisissure</t>
  </si>
  <si>
    <t>TOTAL AMOUNT: SAY EURO FOUR HUNDRED AND SEVENTY FOUR AND POINT FIVE ONLY.</t>
  </si>
  <si>
    <t>VAT 20%</t>
  </si>
  <si>
    <t>Via Torino, 22
angolo Piazza Santa Maria Beltrade, 1
Milano, MI 20123
Italy</t>
  </si>
  <si>
    <t xml:space="preserve"># 406-0759818-9944317 </t>
  </si>
  <si>
    <t>IT-406-0759818-9944317</t>
  </si>
  <si>
    <t>iOCHOW Deumidificatore per Casa Portatile: 70L/Giorno Elettrico a Basso Consumo</t>
  </si>
  <si>
    <t>TOTAL AMOUNT: SAY EURO TWO HUNDRED AND SIXTEEN AND POINT SIXTY ONLY.</t>
  </si>
  <si>
    <t>VAT 22%</t>
  </si>
  <si>
    <t>NIF: ESB05295837
El Pueblu 5
33519 
SPAIN</t>
  </si>
  <si>
    <t># 406-2826586-6233100</t>
  </si>
  <si>
    <t>ES-406-2826586-6233100</t>
  </si>
  <si>
    <t>iOCHOW Deshumidificador para Humedad Interior: 70L/Día Portátil de Bajo Consumo</t>
  </si>
  <si>
    <t>TOTAL AMOUNT: SAY EURO TWO HUNDRED AND SIXTEEN AND POINT SIXTY ONLY .</t>
  </si>
  <si>
    <t>CREDIT NOTE</t>
  </si>
  <si>
    <t>To</t>
  </si>
  <si>
    <t>EURL LA FEE SERVICESPOFEEH</t>
  </si>
  <si>
    <t>08,September,2025</t>
  </si>
  <si>
    <t>3 RN 96, 100 avenue Solobie
LA DESTROUSSE, 13112
France</t>
  </si>
  <si>
    <t>order number:</t>
  </si>
  <si>
    <t># 402-3940275-7147503</t>
  </si>
  <si>
    <t>0001 credit note</t>
  </si>
  <si>
    <t>20,August,2025</t>
  </si>
  <si>
    <t>iOCHOW Destructeur de Papier Automatique: 150 Feuilles en Micro Coupe P-4 Broyeur Papier</t>
  </si>
  <si>
    <t>TOTAL AMOUNT: SAY EURO MINUS TWO HUNDRED AND SEVENTY AND POINT SEVENTY FIVE ONLY.</t>
  </si>
  <si>
    <t xml:space="preserve">                          Xinxiang Fanjiang Trading Co.,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</si>
</sst>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m\-yy"/>
    <numFmt numFmtId="177" formatCode="0.00_ "/>
    <numFmt numFmtId="178" formatCode="[$-809]dd\ mmmm\ yyyy;@"/>
  </numFmts>
  <fonts count="32">
    <font>
      <sz val="11"/>
      <color theme="1"/>
      <name val="宋体"/>
      <charset val="134"/>
      <scheme val="minor"/>
    </font>
    <font>
      <sz val="28"/>
      <color theme="1"/>
      <name val="Arial Black"/>
      <charset val="134"/>
    </font>
    <font>
      <sz val="12"/>
      <color theme="1"/>
      <name val="Times New Roman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Border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4" xfId="0" applyFont="1" applyBorder="1">
      <alignment vertical="center"/>
    </xf>
    <xf numFmtId="0" fontId="6" fillId="0" borderId="0" xfId="0" applyFont="1" applyFill="1" applyBorder="1" applyAlignment="1">
      <alignment vertical="top" wrapText="1"/>
    </xf>
    <xf numFmtId="0" fontId="7" fillId="0" borderId="5" xfId="0" applyFont="1" applyBorder="1">
      <alignment vertical="center"/>
    </xf>
    <xf numFmtId="0" fontId="6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6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 wrapText="1"/>
    </xf>
    <xf numFmtId="177" fontId="6" fillId="0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0" fillId="0" borderId="4" xfId="0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0" xfId="0" applyFont="1">
      <alignment vertical="center"/>
    </xf>
    <xf numFmtId="0" fontId="0" fillId="0" borderId="4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9" fillId="0" borderId="4" xfId="0" applyFont="1" applyBorder="1">
      <alignment vertical="center"/>
    </xf>
    <xf numFmtId="0" fontId="2" fillId="0" borderId="4" xfId="0" applyFont="1" applyBorder="1" applyAlignment="1">
      <alignment horizontal="justify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 applyBorder="1">
      <alignment vertical="center"/>
    </xf>
    <xf numFmtId="178" fontId="6" fillId="0" borderId="5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178" fontId="6" fillId="0" borderId="6" xfId="0" applyNumberFormat="1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177" fontId="6" fillId="0" borderId="0" xfId="0" applyNumberFormat="1" applyFont="1">
      <alignment vertical="center"/>
    </xf>
    <xf numFmtId="0" fontId="5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  <xf numFmtId="0" fontId="12" fillId="0" borderId="5" xfId="0" applyFont="1" applyBorder="1">
      <alignment vertical="center"/>
    </xf>
    <xf numFmtId="178" fontId="6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85" zoomScaleNormal="85" workbookViewId="0">
      <selection activeCell="B26" sqref="B26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5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9" t="s">
        <v>7</v>
      </c>
      <c r="E8" s="20" t="s">
        <v>8</v>
      </c>
    </row>
    <row r="9" ht="105" customHeight="1" spans="1:8">
      <c r="A9" s="55"/>
      <c r="B9" s="22" t="s">
        <v>9</v>
      </c>
      <c r="C9" s="1"/>
      <c r="D9" s="61" t="s">
        <v>10</v>
      </c>
      <c r="E9" s="23" t="s">
        <v>11</v>
      </c>
      <c r="H9" s="31"/>
    </row>
    <row r="10" s="1" customFormat="1" ht="15" customHeight="1" spans="1:8">
      <c r="A10" s="53" t="s">
        <v>12</v>
      </c>
      <c r="B10" s="18" t="s">
        <v>13</v>
      </c>
      <c r="E10" s="25"/>
    </row>
    <row r="11" ht="15" customHeight="1" spans="1:8">
      <c r="A11" s="53" t="s">
        <v>14</v>
      </c>
      <c r="B11" s="26" t="s">
        <v>15</v>
      </c>
      <c r="D11" s="27"/>
      <c r="E11" s="25"/>
    </row>
    <row r="12" s="50" customFormat="1" ht="15.75" spans="1:8">
      <c r="A12" s="63" t="s">
        <v>16</v>
      </c>
      <c r="B12" s="64" t="s">
        <v>17</v>
      </c>
      <c r="C12" s="65" t="s">
        <v>18</v>
      </c>
      <c r="D12" s="65" t="s">
        <v>19</v>
      </c>
      <c r="E12" s="66" t="s">
        <v>20</v>
      </c>
    </row>
    <row r="13" ht="50" customHeight="1" spans="1:8">
      <c r="A13" s="67" t="s">
        <v>21</v>
      </c>
      <c r="B13" s="33" t="s">
        <v>22</v>
      </c>
      <c r="C13" s="34">
        <v>1</v>
      </c>
      <c r="D13" s="35">
        <v>243.68</v>
      </c>
      <c r="E13" s="36">
        <f>D13</f>
        <v>243.68</v>
      </c>
    </row>
    <row r="14" ht="21" customHeight="1" spans="1:8">
      <c r="A14" s="68" t="s">
        <v>23</v>
      </c>
      <c r="B14" s="69"/>
      <c r="C14" s="34"/>
      <c r="D14" s="70"/>
      <c r="E14" s="36">
        <f>E13</f>
        <v>243.68</v>
      </c>
    </row>
    <row r="15" ht="15.75" spans="1:8">
      <c r="A15" s="71" t="s">
        <v>24</v>
      </c>
      <c r="B15" s="72"/>
      <c r="C15" s="72"/>
      <c r="D15" s="72"/>
      <c r="E15" s="73"/>
    </row>
    <row r="16" ht="15.75" spans="1:8">
      <c r="A16" s="53" t="s">
        <v>25</v>
      </c>
      <c r="B16" s="74">
        <f>E13/(1+0.21)</f>
        <v>201.388429752066</v>
      </c>
      <c r="E16" s="25"/>
    </row>
    <row r="17" ht="15.75" spans="1:7">
      <c r="A17" s="53" t="s">
        <v>26</v>
      </c>
      <c r="B17" s="74">
        <f>B16*0.21</f>
        <v>42.2915702479339</v>
      </c>
      <c r="E17" s="25"/>
    </row>
    <row r="18" ht="15.75" spans="1:7">
      <c r="A18" s="53" t="s">
        <v>23</v>
      </c>
      <c r="B18" s="74">
        <f>B16+B17</f>
        <v>243.68</v>
      </c>
      <c r="E18" s="25"/>
    </row>
    <row r="19" ht="15.75" spans="1:7">
      <c r="A19" s="53"/>
      <c r="B19" s="74"/>
      <c r="E19" s="25"/>
    </row>
    <row r="20" ht="15.75" spans="1:7">
      <c r="A20" s="43"/>
      <c r="D20" s="44" t="s">
        <v>0</v>
      </c>
      <c r="E20" s="75"/>
      <c r="F20" s="76"/>
      <c r="G20" s="77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27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46013</v>
      </c>
    </row>
    <row r="9" ht="105" customHeight="1" spans="1:8">
      <c r="A9" s="55"/>
      <c r="B9" s="22"/>
      <c r="C9" s="1"/>
      <c r="D9" s="61" t="s">
        <v>10</v>
      </c>
      <c r="E9" s="23" t="s">
        <v>28</v>
      </c>
      <c r="H9" s="31"/>
    </row>
    <row r="10" s="1" customFormat="1" ht="15" customHeight="1" spans="1:8">
      <c r="A10" s="53" t="s">
        <v>12</v>
      </c>
      <c r="B10" s="18" t="s">
        <v>29</v>
      </c>
      <c r="E10" s="25"/>
    </row>
    <row r="11" ht="15" customHeight="1" spans="1:8">
      <c r="A11" s="53" t="s">
        <v>14</v>
      </c>
      <c r="B11" s="62">
        <v>46013</v>
      </c>
      <c r="D11" s="27"/>
      <c r="E11" s="25"/>
    </row>
    <row r="12" s="50" customFormat="1" ht="15.75" spans="1:8">
      <c r="A12" s="63" t="s">
        <v>16</v>
      </c>
      <c r="B12" s="64" t="s">
        <v>17</v>
      </c>
      <c r="C12" s="65" t="s">
        <v>18</v>
      </c>
      <c r="D12" s="65" t="s">
        <v>19</v>
      </c>
      <c r="E12" s="66" t="s">
        <v>20</v>
      </c>
    </row>
    <row r="13" ht="50" customHeight="1" spans="1:8">
      <c r="A13" s="67" t="s">
        <v>21</v>
      </c>
      <c r="B13" s="33" t="s">
        <v>30</v>
      </c>
      <c r="C13" s="34">
        <v>1</v>
      </c>
      <c r="D13" s="35">
        <v>474.05</v>
      </c>
      <c r="E13" s="36">
        <v>374.05</v>
      </c>
    </row>
    <row r="14" ht="21" customHeight="1" spans="1:8">
      <c r="A14" s="68" t="s">
        <v>23</v>
      </c>
      <c r="B14" s="69"/>
      <c r="C14" s="34"/>
      <c r="D14" s="70"/>
      <c r="E14" s="36">
        <f>E13</f>
        <v>374.05</v>
      </c>
    </row>
    <row r="15" ht="15.75" spans="1:8">
      <c r="A15" s="71" t="s">
        <v>31</v>
      </c>
      <c r="B15" s="72"/>
      <c r="C15" s="72"/>
      <c r="D15" s="72"/>
      <c r="E15" s="73"/>
    </row>
    <row r="16" ht="15.75" spans="1:8">
      <c r="A16" s="53" t="s">
        <v>25</v>
      </c>
      <c r="B16" s="74">
        <f>E14/(1+0.19)</f>
        <v>314.327731092437</v>
      </c>
      <c r="E16" s="25"/>
    </row>
    <row r="17" ht="15.75" spans="1:7">
      <c r="A17" s="53" t="s">
        <v>32</v>
      </c>
      <c r="B17" s="74">
        <f>B16*0.19</f>
        <v>59.722268907563</v>
      </c>
      <c r="E17" s="25"/>
    </row>
    <row r="18" ht="15.75" spans="1:7">
      <c r="A18" s="53" t="s">
        <v>23</v>
      </c>
      <c r="B18" s="74">
        <f>B16+B17</f>
        <v>374.05</v>
      </c>
      <c r="E18" s="25"/>
    </row>
    <row r="19" ht="15.75" spans="1:7">
      <c r="A19" s="53"/>
      <c r="B19" s="74"/>
      <c r="E19" s="25"/>
    </row>
    <row r="20" ht="15.75" spans="1:7">
      <c r="A20" s="43"/>
      <c r="D20" s="44" t="s">
        <v>0</v>
      </c>
      <c r="E20" s="75"/>
      <c r="F20" s="76"/>
      <c r="G20" s="77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27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46029</v>
      </c>
    </row>
    <row r="9" ht="105" customHeight="1" spans="1:8">
      <c r="A9" s="55"/>
      <c r="B9" s="22" t="s">
        <v>33</v>
      </c>
      <c r="C9" s="1"/>
      <c r="D9" s="61" t="s">
        <v>10</v>
      </c>
      <c r="E9" s="78" t="s">
        <v>34</v>
      </c>
      <c r="H9" s="31"/>
    </row>
    <row r="10" s="1" customFormat="1" ht="15" customHeight="1" spans="1:8">
      <c r="A10" s="53" t="s">
        <v>12</v>
      </c>
      <c r="B10" s="18" t="s">
        <v>35</v>
      </c>
      <c r="E10" s="25"/>
    </row>
    <row r="11" ht="15" customHeight="1" spans="1:8">
      <c r="A11" s="53" t="s">
        <v>14</v>
      </c>
      <c r="B11" s="62">
        <v>46028</v>
      </c>
      <c r="D11" s="27"/>
      <c r="E11" s="25"/>
    </row>
    <row r="12" s="50" customFormat="1" ht="15.75" spans="1:8">
      <c r="A12" s="63" t="s">
        <v>16</v>
      </c>
      <c r="B12" s="64" t="s">
        <v>17</v>
      </c>
      <c r="C12" s="65" t="s">
        <v>18</v>
      </c>
      <c r="D12" s="65" t="s">
        <v>19</v>
      </c>
      <c r="E12" s="66" t="s">
        <v>20</v>
      </c>
    </row>
    <row r="13" ht="50" customHeight="1" spans="1:8">
      <c r="A13" s="67" t="s">
        <v>21</v>
      </c>
      <c r="B13" s="33" t="s">
        <v>36</v>
      </c>
      <c r="C13" s="34">
        <v>1</v>
      </c>
      <c r="D13" s="35">
        <v>474.05</v>
      </c>
      <c r="E13" s="36">
        <f>D13</f>
        <v>474.05</v>
      </c>
    </row>
    <row r="14" ht="21" customHeight="1" spans="1:8">
      <c r="A14" s="68" t="s">
        <v>23</v>
      </c>
      <c r="B14" s="69"/>
      <c r="C14" s="34"/>
      <c r="D14" s="70"/>
      <c r="E14" s="36">
        <f>E13</f>
        <v>474.05</v>
      </c>
    </row>
    <row r="15" ht="15.75" spans="1:8">
      <c r="A15" s="71" t="s">
        <v>37</v>
      </c>
      <c r="B15" s="72"/>
      <c r="C15" s="72"/>
      <c r="D15" s="72"/>
      <c r="E15" s="73"/>
    </row>
    <row r="16" ht="15.75" spans="1:8">
      <c r="A16" s="53" t="s">
        <v>25</v>
      </c>
      <c r="B16" s="74">
        <f>E14/(1+0.2)</f>
        <v>395.041666666667</v>
      </c>
      <c r="E16" s="25"/>
    </row>
    <row r="17" ht="15.75" spans="1:7">
      <c r="A17" s="53" t="s">
        <v>38</v>
      </c>
      <c r="B17" s="74">
        <f>B16*0.2</f>
        <v>79.0083333333333</v>
      </c>
      <c r="E17" s="25"/>
    </row>
    <row r="18" ht="15.75" spans="1:7">
      <c r="A18" s="53" t="s">
        <v>23</v>
      </c>
      <c r="B18" s="74">
        <f>B16+B17</f>
        <v>474.05</v>
      </c>
      <c r="E18" s="25"/>
    </row>
    <row r="19" ht="15.75" spans="1:7">
      <c r="A19" s="53"/>
      <c r="B19" s="74"/>
      <c r="E19" s="25"/>
    </row>
    <row r="20" ht="15.75" spans="1:7">
      <c r="A20" s="43"/>
      <c r="D20" s="44" t="s">
        <v>0</v>
      </c>
      <c r="E20" s="75"/>
      <c r="F20" s="76"/>
      <c r="G20" s="77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27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46042</v>
      </c>
    </row>
    <row r="9" ht="105" customHeight="1" spans="1:8">
      <c r="A9" s="55"/>
      <c r="B9" s="22" t="s">
        <v>39</v>
      </c>
      <c r="C9" s="1"/>
      <c r="D9" s="61" t="s">
        <v>10</v>
      </c>
      <c r="E9" s="78" t="s">
        <v>40</v>
      </c>
      <c r="H9" s="31"/>
    </row>
    <row r="10" s="1" customFormat="1" ht="15" customHeight="1" spans="1:8">
      <c r="A10" s="53" t="s">
        <v>12</v>
      </c>
      <c r="B10" s="18" t="s">
        <v>41</v>
      </c>
      <c r="E10" s="25"/>
    </row>
    <row r="11" ht="15" customHeight="1" spans="1:8">
      <c r="A11" s="53" t="s">
        <v>14</v>
      </c>
      <c r="B11" s="79">
        <v>46042</v>
      </c>
      <c r="D11" s="27"/>
      <c r="E11" s="25"/>
    </row>
    <row r="12" s="50" customFormat="1" ht="15.75" spans="1:8">
      <c r="A12" s="63" t="s">
        <v>16</v>
      </c>
      <c r="B12" s="65" t="s">
        <v>17</v>
      </c>
      <c r="C12" s="65" t="s">
        <v>18</v>
      </c>
      <c r="D12" s="65" t="s">
        <v>19</v>
      </c>
      <c r="E12" s="66" t="s">
        <v>20</v>
      </c>
    </row>
    <row r="13" ht="50" customHeight="1" spans="1:8">
      <c r="A13" s="67" t="s">
        <v>21</v>
      </c>
      <c r="B13" s="33" t="s">
        <v>42</v>
      </c>
      <c r="C13" s="34">
        <v>1</v>
      </c>
      <c r="D13" s="35">
        <v>216.6</v>
      </c>
      <c r="E13" s="36">
        <f>D13</f>
        <v>216.6</v>
      </c>
    </row>
    <row r="14" ht="21" customHeight="1" spans="1:8">
      <c r="A14" s="68" t="s">
        <v>23</v>
      </c>
      <c r="B14" s="69"/>
      <c r="C14" s="34"/>
      <c r="D14" s="70"/>
      <c r="E14" s="36">
        <f>E13</f>
        <v>216.6</v>
      </c>
    </row>
    <row r="15" ht="15.75" spans="1:8">
      <c r="A15" s="71" t="s">
        <v>43</v>
      </c>
      <c r="B15" s="72"/>
      <c r="C15" s="72"/>
      <c r="D15" s="72"/>
      <c r="E15" s="73"/>
    </row>
    <row r="16" ht="15.75" spans="1:8">
      <c r="A16" s="53" t="s">
        <v>25</v>
      </c>
      <c r="B16" s="74">
        <f>E13/(1+0.22)</f>
        <v>177.540983606557</v>
      </c>
      <c r="E16" s="25"/>
    </row>
    <row r="17" ht="15.75" spans="1:7">
      <c r="A17" s="53" t="s">
        <v>44</v>
      </c>
      <c r="B17" s="74">
        <f>B16*0.22</f>
        <v>39.0590163934426</v>
      </c>
      <c r="E17" s="25"/>
    </row>
    <row r="18" ht="15.75" spans="1:7">
      <c r="A18" s="53" t="s">
        <v>23</v>
      </c>
      <c r="B18" s="74">
        <f>B16+B17</f>
        <v>216.6</v>
      </c>
      <c r="E18" s="25"/>
    </row>
    <row r="19" ht="15.75" spans="1:7">
      <c r="A19" s="53"/>
      <c r="B19" s="74"/>
      <c r="E19" s="25"/>
    </row>
    <row r="20" ht="15.75" spans="1:7">
      <c r="A20" s="43"/>
      <c r="D20" s="44" t="s">
        <v>0</v>
      </c>
      <c r="E20" s="75"/>
      <c r="F20" s="76"/>
      <c r="G20" s="77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27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57"/>
      <c r="C8" s="58"/>
      <c r="D8" s="59" t="s">
        <v>7</v>
      </c>
      <c r="E8" s="60">
        <v>46042</v>
      </c>
    </row>
    <row r="9" ht="105" customHeight="1" spans="1:8">
      <c r="A9" s="55"/>
      <c r="B9" s="22" t="s">
        <v>45</v>
      </c>
      <c r="C9" s="1"/>
      <c r="D9" s="61" t="s">
        <v>10</v>
      </c>
      <c r="E9" s="23" t="s">
        <v>46</v>
      </c>
      <c r="H9" s="31"/>
    </row>
    <row r="10" s="1" customFormat="1" ht="15" customHeight="1" spans="1:8">
      <c r="A10" s="53" t="s">
        <v>12</v>
      </c>
      <c r="B10" s="18" t="s">
        <v>47</v>
      </c>
      <c r="E10" s="25"/>
    </row>
    <row r="11" ht="15" customHeight="1" spans="1:8">
      <c r="A11" s="53" t="s">
        <v>14</v>
      </c>
      <c r="B11" s="62">
        <v>46041</v>
      </c>
      <c r="D11" s="27"/>
      <c r="E11" s="25"/>
    </row>
    <row r="12" s="50" customFormat="1" ht="15.75" spans="1:8">
      <c r="A12" s="63" t="s">
        <v>16</v>
      </c>
      <c r="B12" s="64" t="s">
        <v>17</v>
      </c>
      <c r="C12" s="65" t="s">
        <v>18</v>
      </c>
      <c r="D12" s="65" t="s">
        <v>19</v>
      </c>
      <c r="E12" s="66" t="s">
        <v>20</v>
      </c>
    </row>
    <row r="13" ht="50" customHeight="1" spans="1:8">
      <c r="A13" s="67" t="s">
        <v>21</v>
      </c>
      <c r="B13" s="33" t="s">
        <v>48</v>
      </c>
      <c r="C13" s="34">
        <v>1</v>
      </c>
      <c r="D13" s="35">
        <v>216.6</v>
      </c>
      <c r="E13" s="36">
        <f>D13</f>
        <v>216.6</v>
      </c>
    </row>
    <row r="14" ht="21" customHeight="1" spans="1:8">
      <c r="A14" s="68" t="s">
        <v>23</v>
      </c>
      <c r="B14" s="69"/>
      <c r="C14" s="34"/>
      <c r="D14" s="70"/>
      <c r="E14" s="36">
        <f>E13</f>
        <v>216.6</v>
      </c>
    </row>
    <row r="15" ht="15.75" spans="1:8">
      <c r="A15" s="71" t="s">
        <v>49</v>
      </c>
      <c r="B15" s="72"/>
      <c r="C15" s="72"/>
      <c r="D15" s="72"/>
      <c r="E15" s="73"/>
    </row>
    <row r="16" ht="15.75" spans="1:8">
      <c r="A16" s="53" t="s">
        <v>25</v>
      </c>
      <c r="B16" s="74">
        <f>E13/(1+0.21)</f>
        <v>179.00826446281</v>
      </c>
      <c r="E16" s="25"/>
    </row>
    <row r="17" ht="15.75" spans="1:7">
      <c r="A17" s="53" t="s">
        <v>26</v>
      </c>
      <c r="B17" s="74">
        <f>B16*0.21</f>
        <v>37.5917355371901</v>
      </c>
      <c r="E17" s="25"/>
    </row>
    <row r="18" ht="15.75" spans="1:7">
      <c r="A18" s="53" t="s">
        <v>23</v>
      </c>
      <c r="B18" s="74">
        <f>B16+B17</f>
        <v>216.6</v>
      </c>
      <c r="E18" s="25"/>
    </row>
    <row r="19" ht="15.75" spans="1:7">
      <c r="A19" s="53"/>
      <c r="B19" s="74"/>
      <c r="E19" s="25"/>
    </row>
    <row r="20" ht="15.75" spans="1:7">
      <c r="A20" s="43"/>
      <c r="D20" s="44" t="s">
        <v>0</v>
      </c>
      <c r="E20" s="75"/>
      <c r="F20" s="76"/>
      <c r="G20" s="77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D24" sqref="D24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2" t="s">
        <v>0</v>
      </c>
      <c r="B1" s="3"/>
      <c r="C1" s="3"/>
      <c r="D1" s="3"/>
      <c r="E1" s="4"/>
    </row>
    <row r="2" ht="17" customHeight="1" spans="1:8">
      <c r="A2" s="5" t="s">
        <v>1</v>
      </c>
      <c r="B2" s="6"/>
      <c r="C2" s="6"/>
      <c r="D2" s="6"/>
      <c r="E2" s="7"/>
    </row>
    <row r="3" ht="17" customHeight="1" spans="1:8">
      <c r="A3" s="5" t="s">
        <v>2</v>
      </c>
      <c r="B3" s="8"/>
      <c r="C3" s="8"/>
      <c r="D3" s="8"/>
      <c r="E3" s="9"/>
    </row>
    <row r="4" ht="25" customHeight="1" spans="1:8">
      <c r="A4" s="10" t="s">
        <v>50</v>
      </c>
      <c r="B4" s="11"/>
      <c r="C4" s="11"/>
      <c r="D4" s="11"/>
      <c r="E4" s="12"/>
    </row>
    <row r="5" ht="16" customHeight="1" spans="1:8">
      <c r="A5" s="13"/>
      <c r="B5" s="14"/>
      <c r="C5" s="14"/>
      <c r="D5" s="14"/>
      <c r="E5" s="15"/>
    </row>
    <row r="6" ht="15" customHeight="1" spans="1:8">
      <c r="A6" s="16" t="s">
        <v>51</v>
      </c>
      <c r="B6" s="17" t="s">
        <v>52</v>
      </c>
      <c r="C6" s="18"/>
      <c r="D6" s="19" t="s">
        <v>7</v>
      </c>
      <c r="E6" s="20" t="s">
        <v>53</v>
      </c>
    </row>
    <row r="7" ht="94" customHeight="1" spans="1:8">
      <c r="A7" s="21"/>
      <c r="B7" s="22" t="s">
        <v>54</v>
      </c>
      <c r="C7" s="1"/>
      <c r="D7" s="19" t="s">
        <v>55</v>
      </c>
      <c r="E7" s="23" t="s">
        <v>56</v>
      </c>
    </row>
    <row r="8" ht="15.75" spans="1:8">
      <c r="A8" s="21" t="s">
        <v>12</v>
      </c>
      <c r="B8" s="24" t="s">
        <v>57</v>
      </c>
      <c r="C8" s="1"/>
      <c r="D8" s="1"/>
      <c r="E8" s="25"/>
    </row>
    <row r="9" customFormat="1" ht="15.75" spans="1:8">
      <c r="A9" s="21" t="s">
        <v>14</v>
      </c>
      <c r="B9" s="26" t="s">
        <v>58</v>
      </c>
      <c r="D9" s="27"/>
      <c r="E9" s="25"/>
    </row>
    <row r="10" ht="16" customHeight="1" spans="1:8">
      <c r="A10" s="28" t="s">
        <v>16</v>
      </c>
      <c r="B10" s="29" t="s">
        <v>17</v>
      </c>
      <c r="C10" s="29" t="s">
        <v>18</v>
      </c>
      <c r="D10" s="29" t="s">
        <v>19</v>
      </c>
      <c r="E10" s="30" t="s">
        <v>20</v>
      </c>
      <c r="H10" s="31"/>
    </row>
    <row r="11" s="1" customFormat="1" ht="72" customHeight="1" spans="1:8">
      <c r="A11" s="32" t="s">
        <v>21</v>
      </c>
      <c r="B11" s="33" t="s">
        <v>59</v>
      </c>
      <c r="C11" s="34">
        <v>1</v>
      </c>
      <c r="D11" s="35">
        <v>-270.75</v>
      </c>
      <c r="E11" s="36">
        <f>(D11)</f>
        <v>-270.75</v>
      </c>
    </row>
    <row r="12" ht="21" customHeight="1" spans="1:8">
      <c r="A12" s="37" t="s">
        <v>23</v>
      </c>
      <c r="B12" s="38"/>
      <c r="C12" s="39"/>
      <c r="D12" s="39"/>
      <c r="E12" s="40">
        <f>E11</f>
        <v>-270.75</v>
      </c>
    </row>
    <row r="13" ht="15.75" spans="1:8">
      <c r="A13" s="21" t="s">
        <v>60</v>
      </c>
      <c r="B13" s="41"/>
      <c r="C13" s="41"/>
      <c r="D13" s="41"/>
      <c r="E13" s="42"/>
    </row>
    <row r="14" customFormat="1" ht="12" customHeight="1" spans="1:8">
      <c r="A14" s="43"/>
      <c r="E14" s="25"/>
    </row>
    <row r="15" customFormat="1" ht="13" customHeight="1" spans="1:8">
      <c r="A15" s="43"/>
      <c r="E15" s="25"/>
    </row>
    <row r="16" customFormat="1" ht="15.75" spans="1:8">
      <c r="A16" s="43"/>
      <c r="C16" s="44" t="s">
        <v>61</v>
      </c>
      <c r="D16" s="44"/>
      <c r="E16" s="45"/>
    </row>
    <row r="17" customFormat="1" spans="1:5">
      <c r="A17" s="43"/>
      <c r="E17" s="25"/>
    </row>
    <row r="18" ht="14.25" spans="1:5">
      <c r="A18" s="46"/>
      <c r="B18" s="47"/>
      <c r="C18" s="47"/>
      <c r="D18" s="47"/>
      <c r="E18" s="48"/>
    </row>
    <row r="19" customFormat="1" spans="1:5">
      <c r="A19" s="49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C16:E1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英国</vt:lpstr>
      <vt:lpstr>德国</vt:lpstr>
      <vt:lpstr>法国</vt:lpstr>
      <vt:lpstr>意大利</vt:lpstr>
      <vt:lpstr>西班牙</vt:lpstr>
      <vt:lpstr>贷记单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